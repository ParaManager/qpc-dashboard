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cenebouteldja/Desktop/Technical Expert/DATABASE/"/>
    </mc:Choice>
  </mc:AlternateContent>
  <xr:revisionPtr revIDLastSave="0" documentId="13_ncr:1_{64F4519F-AC42-1542-8A3A-7B4E4302D336}" xr6:coauthVersionLast="47" xr6:coauthVersionMax="47" xr10:uidLastSave="{00000000-0000-0000-0000-000000000000}"/>
  <bookViews>
    <workbookView xWindow="0" yWindow="500" windowWidth="28800" windowHeight="16480" activeTab="2" xr2:uid="{00000000-000D-0000-FFFF-FFFF00000000}"/>
  </bookViews>
  <sheets>
    <sheet name="الغلاف" sheetId="4" r:id="rId1"/>
    <sheet name="1" sheetId="2" r:id="rId2"/>
    <sheet name="2" sheetId="1" r:id="rId3"/>
    <sheet name="3" sheetId="3" r:id="rId4"/>
  </sheets>
  <definedNames>
    <definedName name="_xlnm.Print_Area" localSheetId="1">'1'!$A$1:$L$23</definedName>
    <definedName name="_xlnm.Print_Area" localSheetId="2">'2'!$B$1:$L$26</definedName>
    <definedName name="_xlnm.Print_Area" localSheetId="3">'3'!$A$1:$L$33</definedName>
    <definedName name="_xlnm.Print_Area" localSheetId="0">الغلاف!$A$1:$D$15</definedName>
    <definedName name="_xlnm.Print_Titles" localSheetId="3">'3'!$1:$8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2" i="3"/>
  <c r="J22" i="3"/>
  <c r="K22" i="3"/>
  <c r="I21" i="3"/>
  <c r="J21" i="3"/>
  <c r="K21" i="3"/>
  <c r="J23" i="3"/>
  <c r="I23" i="3"/>
  <c r="K23" i="3"/>
  <c r="K24" i="3"/>
  <c r="J24" i="3"/>
  <c r="I24" i="3"/>
  <c r="H9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G24" i="3"/>
  <c r="F24" i="3"/>
  <c r="E10" i="3"/>
  <c r="E11" i="3"/>
  <c r="E12" i="3"/>
  <c r="E13" i="3"/>
  <c r="E14" i="3"/>
  <c r="E15" i="3"/>
  <c r="E16" i="3"/>
  <c r="E17" i="3"/>
  <c r="E18" i="3"/>
  <c r="E19" i="3"/>
  <c r="E20" i="3"/>
  <c r="E22" i="3"/>
  <c r="E21" i="3"/>
  <c r="E23" i="3"/>
  <c r="E24" i="3"/>
  <c r="D24" i="3"/>
  <c r="C24" i="3"/>
  <c r="I9" i="3"/>
  <c r="H10" i="3"/>
  <c r="E9" i="3"/>
  <c r="G23" i="1"/>
  <c r="F23" i="1"/>
  <c r="D23" i="1"/>
  <c r="C23" i="1"/>
  <c r="J18" i="2"/>
  <c r="J17" i="2"/>
  <c r="J16" i="2"/>
  <c r="J15" i="2"/>
  <c r="J14" i="2"/>
  <c r="J13" i="2"/>
  <c r="K13" i="2"/>
  <c r="J12" i="2"/>
  <c r="J11" i="2"/>
  <c r="J10" i="2"/>
  <c r="I18" i="2"/>
  <c r="K18" i="2"/>
  <c r="I17" i="2"/>
  <c r="I16" i="2"/>
  <c r="K16" i="2"/>
  <c r="I15" i="2"/>
  <c r="K15" i="2"/>
  <c r="I14" i="2"/>
  <c r="I13" i="2"/>
  <c r="I12" i="2"/>
  <c r="K12" i="2"/>
  <c r="I11" i="2"/>
  <c r="K11" i="2"/>
  <c r="I10" i="2"/>
  <c r="J9" i="2"/>
  <c r="I9" i="2"/>
  <c r="G20" i="2"/>
  <c r="F20" i="2"/>
  <c r="D20" i="2"/>
  <c r="K10" i="2"/>
  <c r="K9" i="2"/>
  <c r="H18" i="2"/>
  <c r="H17" i="2"/>
  <c r="H16" i="2"/>
  <c r="H15" i="2"/>
  <c r="H14" i="2"/>
  <c r="H13" i="2"/>
  <c r="H12" i="2"/>
  <c r="H11" i="2"/>
  <c r="H10" i="2"/>
  <c r="H9" i="2"/>
  <c r="E18" i="2"/>
  <c r="E17" i="2"/>
  <c r="E16" i="2"/>
  <c r="E15" i="2"/>
  <c r="E14" i="2"/>
  <c r="E13" i="2"/>
  <c r="E12" i="2"/>
  <c r="E11" i="2"/>
  <c r="E10" i="2"/>
  <c r="E9" i="2"/>
  <c r="C20" i="2"/>
  <c r="J17" i="1"/>
  <c r="I17" i="1"/>
  <c r="H17" i="1"/>
  <c r="E17" i="1"/>
  <c r="J16" i="1"/>
  <c r="I16" i="1"/>
  <c r="H16" i="1"/>
  <c r="E16" i="1"/>
  <c r="J15" i="1"/>
  <c r="I15" i="1"/>
  <c r="H15" i="1"/>
  <c r="E15" i="1"/>
  <c r="J14" i="1"/>
  <c r="I14" i="1"/>
  <c r="K14" i="1" s="1"/>
  <c r="H14" i="1"/>
  <c r="E14" i="1"/>
  <c r="J13" i="1"/>
  <c r="I13" i="1"/>
  <c r="H13" i="1"/>
  <c r="E13" i="1"/>
  <c r="J12" i="1"/>
  <c r="I12" i="1"/>
  <c r="H12" i="1"/>
  <c r="E12" i="1"/>
  <c r="J11" i="1"/>
  <c r="I11" i="1"/>
  <c r="H11" i="1"/>
  <c r="H18" i="1"/>
  <c r="H19" i="1"/>
  <c r="H20" i="1"/>
  <c r="H21" i="1"/>
  <c r="H22" i="1"/>
  <c r="H23" i="1"/>
  <c r="E11" i="1"/>
  <c r="J10" i="1"/>
  <c r="J9" i="1"/>
  <c r="J18" i="1"/>
  <c r="J19" i="1"/>
  <c r="J20" i="1"/>
  <c r="J21" i="1"/>
  <c r="J22" i="1"/>
  <c r="J23" i="1"/>
  <c r="I10" i="1"/>
  <c r="I9" i="1"/>
  <c r="I18" i="1"/>
  <c r="I19" i="1"/>
  <c r="I20" i="1"/>
  <c r="I21" i="1"/>
  <c r="I22" i="1"/>
  <c r="H10" i="1"/>
  <c r="E10" i="1"/>
  <c r="E9" i="1"/>
  <c r="E18" i="1"/>
  <c r="E19" i="1"/>
  <c r="E20" i="1"/>
  <c r="E21" i="1"/>
  <c r="E22" i="1"/>
  <c r="K15" i="1"/>
  <c r="K16" i="1"/>
  <c r="K17" i="1"/>
  <c r="K17" i="2"/>
  <c r="K14" i="2"/>
  <c r="K20" i="2"/>
  <c r="H20" i="2"/>
  <c r="J20" i="2"/>
  <c r="E20" i="2"/>
  <c r="I20" i="2"/>
  <c r="K10" i="1"/>
  <c r="K11" i="1"/>
  <c r="K13" i="1"/>
  <c r="K12" i="1"/>
  <c r="K20" i="1"/>
  <c r="K18" i="1"/>
  <c r="K19" i="1"/>
  <c r="K9" i="1"/>
  <c r="H9" i="1"/>
  <c r="K22" i="1"/>
  <c r="I23" i="1" l="1"/>
  <c r="E23" i="1"/>
  <c r="K21" i="1"/>
  <c r="K23" i="1"/>
</calcChain>
</file>

<file path=xl/sharedStrings.xml><?xml version="1.0" encoding="utf-8"?>
<sst xmlns="http://schemas.openxmlformats.org/spreadsheetml/2006/main" count="178" uniqueCount="127">
  <si>
    <t>فئات العمر</t>
  </si>
  <si>
    <r>
      <t xml:space="preserve">Nationality  </t>
    </r>
    <r>
      <rPr>
        <b/>
        <sz val="12"/>
        <rFont val="Arial"/>
        <family val="2"/>
      </rPr>
      <t>الجنسية</t>
    </r>
    <r>
      <rPr>
        <b/>
        <sz val="10"/>
        <rFont val="Arial"/>
        <family val="2"/>
      </rPr>
      <t xml:space="preserve">  </t>
    </r>
  </si>
  <si>
    <t>المجموع  Total</t>
  </si>
  <si>
    <t xml:space="preserve">أقـل من 5 سنوات </t>
  </si>
  <si>
    <t xml:space="preserve"> Less than 5 years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</si>
  <si>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</si>
  <si>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</si>
  <si>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</si>
  <si>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</si>
  <si>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</si>
  <si>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</si>
  <si>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</si>
  <si>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</si>
  <si>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</si>
  <si>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</si>
  <si>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</si>
  <si>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</si>
  <si>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المجموع</t>
  </si>
  <si>
    <t>Total</t>
  </si>
  <si>
    <t>نوع الإعاقة</t>
  </si>
  <si>
    <t>Physical Disability</t>
  </si>
  <si>
    <t>Intellectual Disability</t>
  </si>
  <si>
    <t>Visual Disability</t>
  </si>
  <si>
    <t>Hearing Disability</t>
  </si>
  <si>
    <t xml:space="preserve">Multiple Disability          </t>
  </si>
  <si>
    <t>Developmental Disability</t>
  </si>
  <si>
    <t xml:space="preserve">متلازمة داون </t>
  </si>
  <si>
    <t>Down Syndrome</t>
  </si>
  <si>
    <t>Autism</t>
  </si>
  <si>
    <t>Other</t>
  </si>
  <si>
    <t xml:space="preserve"> Total</t>
  </si>
  <si>
    <t>المهنة</t>
  </si>
  <si>
    <t>Occupation</t>
  </si>
  <si>
    <t>أطباء</t>
  </si>
  <si>
    <t>Doctors</t>
  </si>
  <si>
    <t>أخصائي نفسي</t>
  </si>
  <si>
    <t>Psychologist</t>
  </si>
  <si>
    <t>أخصائي اجتماعي</t>
  </si>
  <si>
    <t>Social worker</t>
  </si>
  <si>
    <t xml:space="preserve">باحث اجتماعي </t>
  </si>
  <si>
    <t xml:space="preserve"> Social researcher </t>
  </si>
  <si>
    <t>أخصائي تربيه خاصه</t>
  </si>
  <si>
    <t>Special Education Specialist</t>
  </si>
  <si>
    <t>Sign language interpreter</t>
  </si>
  <si>
    <t>مدرب</t>
  </si>
  <si>
    <t>Coach</t>
  </si>
  <si>
    <t>تمريض</t>
  </si>
  <si>
    <t xml:space="preserve">إداري </t>
  </si>
  <si>
    <t>عامل</t>
  </si>
  <si>
    <t>جدول رقم  (1)</t>
  </si>
  <si>
    <t>Table No. (1)</t>
  </si>
  <si>
    <t>جدول رقم  (2)</t>
  </si>
  <si>
    <t>جدول رقم  (3)</t>
  </si>
  <si>
    <t>Table No. (2)</t>
  </si>
  <si>
    <t>Table No. (3)</t>
  </si>
  <si>
    <t>Speech &amp; Language Disorders</t>
  </si>
  <si>
    <t>Type of Disability</t>
  </si>
  <si>
    <t>Qataris   قطريون</t>
  </si>
  <si>
    <r>
      <rPr>
        <b/>
        <sz val="10"/>
        <rFont val="Arial"/>
        <family val="2"/>
      </rPr>
      <t>المجموع</t>
    </r>
    <r>
      <rPr>
        <b/>
        <sz val="8"/>
        <rFont val="Arial"/>
        <family val="2"/>
      </rPr>
      <t xml:space="preserve">
Total</t>
    </r>
  </si>
  <si>
    <r>
      <rPr>
        <b/>
        <sz val="10"/>
        <rFont val="Arial"/>
        <family val="2"/>
      </rPr>
      <t>إناث</t>
    </r>
    <r>
      <rPr>
        <b/>
        <sz val="8"/>
        <rFont val="Arial"/>
        <family val="2"/>
      </rPr>
      <t xml:space="preserve">
Females</t>
    </r>
  </si>
  <si>
    <r>
      <rPr>
        <b/>
        <sz val="10"/>
        <rFont val="Arial"/>
        <family val="2"/>
      </rPr>
      <t>ذكور</t>
    </r>
    <r>
      <rPr>
        <b/>
        <sz val="8"/>
        <rFont val="Arial"/>
        <family val="2"/>
      </rPr>
      <t xml:space="preserve"> 
Males</t>
    </r>
  </si>
  <si>
    <r>
      <rPr>
        <b/>
        <sz val="10"/>
        <rFont val="Arial"/>
        <family val="2"/>
      </rPr>
      <t xml:space="preserve">ذكور </t>
    </r>
    <r>
      <rPr>
        <b/>
        <sz val="8"/>
        <rFont val="Arial"/>
        <family val="2"/>
      </rPr>
      <t xml:space="preserve">
Males</t>
    </r>
  </si>
  <si>
    <t xml:space="preserve">Nationality  الجنسية  </t>
  </si>
  <si>
    <t>Non-Qataris   غير قطريين</t>
  </si>
  <si>
    <t>المسجلون في مراكز ذوي الإعاقة حسب الجنسية والنوع ونوع الاعاقة</t>
  </si>
  <si>
    <r>
      <rPr>
        <b/>
        <sz val="10"/>
        <rFont val="Arial"/>
        <family val="2"/>
      </rPr>
      <t>Nationality</t>
    </r>
    <r>
      <rPr>
        <b/>
        <sz val="12"/>
        <rFont val="Arial"/>
        <family val="2"/>
      </rPr>
      <t xml:space="preserve">  الجنسية  </t>
    </r>
  </si>
  <si>
    <r>
      <rPr>
        <b/>
        <sz val="9"/>
        <rFont val="Arial"/>
        <family val="2"/>
      </rPr>
      <t>Qataris</t>
    </r>
    <r>
      <rPr>
        <b/>
        <sz val="10"/>
        <rFont val="Arial"/>
        <family val="2"/>
      </rPr>
      <t xml:space="preserve">   </t>
    </r>
    <r>
      <rPr>
        <b/>
        <sz val="11"/>
        <rFont val="Arial"/>
        <family val="2"/>
      </rPr>
      <t>قطريون</t>
    </r>
  </si>
  <si>
    <r>
      <rPr>
        <b/>
        <sz val="9"/>
        <rFont val="Arial"/>
        <family val="2"/>
      </rPr>
      <t>Non-Qataris</t>
    </r>
    <r>
      <rPr>
        <b/>
        <sz val="10"/>
        <rFont val="Arial"/>
        <family val="2"/>
      </rPr>
      <t xml:space="preserve">   </t>
    </r>
    <r>
      <rPr>
        <b/>
        <sz val="11"/>
        <rFont val="Arial"/>
        <family val="2"/>
      </rPr>
      <t>غير قطريين</t>
    </r>
  </si>
  <si>
    <r>
      <rPr>
        <b/>
        <sz val="11"/>
        <rFont val="Arial"/>
        <family val="2"/>
      </rPr>
      <t>المجموع</t>
    </r>
    <r>
      <rPr>
        <b/>
        <sz val="10"/>
        <rFont val="Arial"/>
        <family val="2"/>
      </rPr>
      <t xml:space="preserve">  </t>
    </r>
    <r>
      <rPr>
        <b/>
        <sz val="9"/>
        <rFont val="Arial"/>
        <family val="2"/>
      </rPr>
      <t>Total</t>
    </r>
  </si>
  <si>
    <t xml:space="preserve">المشتغلون في مراكز ذوي الإعاقة حسب الجنسية والنوع والمهنة </t>
  </si>
  <si>
    <t>دولة قطر</t>
  </si>
  <si>
    <t>State of Qatar</t>
  </si>
  <si>
    <t>إدارة الإحصاءات</t>
  </si>
  <si>
    <t>Statistics Department</t>
  </si>
  <si>
    <t xml:space="preserve">رقم الهاتف: </t>
  </si>
  <si>
    <t>Phone number:</t>
  </si>
  <si>
    <t>Email address:</t>
  </si>
  <si>
    <t>Center Name:</t>
  </si>
  <si>
    <t>إحصاءات ذوي الإعاقة</t>
  </si>
  <si>
    <t>اسم مستوفي البيانات:</t>
  </si>
  <si>
    <t>Name of person completing Data:</t>
  </si>
  <si>
    <t>البريد الإلكتروني:</t>
  </si>
  <si>
    <t>اضطرابات النطق واللغة</t>
  </si>
  <si>
    <t xml:space="preserve">المسجلون في مراكز ذوي الإعاقة حسب الجنسية والنوع وفئات العمر </t>
  </si>
  <si>
    <t xml:space="preserve">  65 سنة فأكثر</t>
  </si>
  <si>
    <t>Age Group</t>
  </si>
  <si>
    <t>أخصائي/ فني علاج وظيفي</t>
  </si>
  <si>
    <t>أخصائي/ فني علاج طبيعي</t>
  </si>
  <si>
    <t>أخصائي/ فني علاج نطق</t>
  </si>
  <si>
    <t>أخصائي/ معلم تربية خاصة</t>
  </si>
  <si>
    <t xml:space="preserve">مترجم لغة إشاره </t>
  </si>
  <si>
    <t>اسم المركز:</t>
  </si>
  <si>
    <t xml:space="preserve">Psychosocial Disability </t>
  </si>
  <si>
    <t>65 and above</t>
  </si>
  <si>
    <t>EMPLOYEES AT DISABILITY CENTERS BY NATIONALITY, GENDER AND OCCUPATION</t>
  </si>
  <si>
    <t xml:space="preserve">         PERSONS REGISTERED AT DISABILITY CENTERS BY NATIONALITY, GENDER AND AGE GROUP </t>
  </si>
  <si>
    <t>PERSONS REGISTERED AT DISABILITY CENTERS BY NATIONALITY, GENDER AND TYPE OF DISABILITY</t>
  </si>
  <si>
    <t>Physical Therapy Specialist/ Technician</t>
  </si>
  <si>
    <t>Functional treatment specialist/ technician</t>
  </si>
  <si>
    <t>Speech therapist/technician</t>
  </si>
  <si>
    <t>Special education specialist/ teacher</t>
  </si>
  <si>
    <t>Nurse</t>
  </si>
  <si>
    <t>Administrator</t>
  </si>
  <si>
    <t>Worker</t>
  </si>
  <si>
    <t>أخرى، أذكر</t>
  </si>
  <si>
    <t>Others, mention</t>
  </si>
  <si>
    <t xml:space="preserve"> Disability Statistics</t>
  </si>
  <si>
    <t>الإعاقات الجسدية / الحركية</t>
  </si>
  <si>
    <t>الإعاقة البصرية</t>
  </si>
  <si>
    <t>الإعاقة الذهنية</t>
  </si>
  <si>
    <t>الإعاقة السمعية</t>
  </si>
  <si>
    <t xml:space="preserve">الإعاقة النفسية والاجتماعية </t>
  </si>
  <si>
    <t>الإعاقات المتعددة</t>
  </si>
  <si>
    <t>الإعاقات النمائية</t>
  </si>
  <si>
    <t>اضراب التوحد</t>
  </si>
  <si>
    <t>أخرى خلاف ماذكر سابقا (تذكر)</t>
  </si>
  <si>
    <t>إسم مستوفي البيانات:</t>
  </si>
  <si>
    <t>Name of the respondent:</t>
  </si>
  <si>
    <t xml:space="preserve">
Telephone number:
</t>
  </si>
  <si>
    <t>البريد الالكتروني:</t>
  </si>
  <si>
    <t>E-mail:</t>
  </si>
  <si>
    <t xml:space="preserve">رقم الهاتف:
</t>
  </si>
  <si>
    <r>
      <t xml:space="preserve">للاستفسار، يرجى التواصل مع السيدة/ منيرة المعاضيد على هاتف: 44958735، أو البريد الإلكتروني: </t>
    </r>
    <r>
      <rPr>
        <sz val="8"/>
        <rFont val="Arial"/>
        <family val="2"/>
      </rPr>
      <t>mmaadid@npc.qa</t>
    </r>
  </si>
  <si>
    <t>For inquiries, please contact Ms. Muneera Almaadid on phone number: 44958735, or e-mail:mmaadid@npc.qa</t>
  </si>
  <si>
    <t>الاتحاد القطري لرياضة ذوي الاحتياجات الخاصة</t>
  </si>
  <si>
    <t>hsinou@gmail.com</t>
  </si>
  <si>
    <t>أحسن بوثلجة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</si>
</sst>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_-* #,##0.00\-;_-* &quot;-&quot;??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indexed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  <charset val="178"/>
    </font>
    <font>
      <b/>
      <sz val="8"/>
      <name val="Arial"/>
      <family val="2"/>
    </font>
    <font>
      <b/>
      <sz val="11"/>
      <name val="Arial"/>
      <family val="2"/>
      <charset val="178"/>
    </font>
    <font>
      <b/>
      <sz val="10"/>
      <name val="Arial"/>
      <family val="2"/>
      <charset val="178"/>
    </font>
    <font>
      <sz val="10"/>
      <color indexed="10"/>
      <name val="Arial"/>
      <family val="2"/>
    </font>
    <font>
      <sz val="10"/>
      <name val="Arial"/>
      <family val="2"/>
      <charset val="178"/>
    </font>
    <font>
      <b/>
      <sz val="11"/>
      <name val="Arial"/>
      <family val="2"/>
    </font>
    <font>
      <b/>
      <u/>
      <sz val="12"/>
      <name val="Arial"/>
      <family val="2"/>
    </font>
    <font>
      <b/>
      <u/>
      <sz val="10"/>
      <color rgb="FF222222"/>
      <name val="Inherit"/>
      <charset val="178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6"/>
      <name val="Arial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color indexed="8"/>
      <name val="Arial"/>
      <family val="2"/>
      <charset val="178"/>
    </font>
    <font>
      <sz val="8"/>
      <name val="Arial"/>
      <family val="2"/>
      <charset val="178"/>
    </font>
    <font>
      <b/>
      <sz val="10"/>
      <color indexed="10"/>
      <name val="Arial"/>
      <family val="2"/>
      <charset val="178"/>
    </font>
    <font>
      <b/>
      <sz val="8"/>
      <color indexed="10"/>
      <name val="Arial"/>
      <family val="2"/>
    </font>
    <font>
      <b/>
      <sz val="12"/>
      <color indexed="10"/>
      <name val="Arial"/>
      <family val="2"/>
      <charset val="178"/>
    </font>
    <font>
      <b/>
      <sz val="10"/>
      <color rgb="FF222222"/>
      <name val="Inherit"/>
      <charset val="178"/>
    </font>
    <font>
      <b/>
      <sz val="9"/>
      <color rgb="FF222222"/>
      <name val="Inherit"/>
      <charset val="178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medium">
        <color indexed="60"/>
      </left>
      <right style="medium">
        <color indexed="6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 diagonalUp="1"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 style="medium">
        <color indexed="60"/>
      </diagonal>
    </border>
    <border diagonalDown="1"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 style="medium">
        <color indexed="60"/>
      </diagonal>
    </border>
    <border>
      <left/>
      <right/>
      <top style="medium">
        <color indexed="60"/>
      </top>
      <bottom style="medium">
        <color indexed="60"/>
      </bottom>
      <diagonal/>
    </border>
    <border>
      <left/>
      <right/>
      <top style="medium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9">
    <xf numFmtId="0" fontId="0" fillId="0" borderId="0"/>
    <xf numFmtId="0" fontId="2" fillId="0" borderId="0" applyAlignment="0">
      <alignment horizontal="centerContinuous" vertical="center"/>
    </xf>
    <xf numFmtId="0" fontId="4" fillId="0" borderId="0"/>
    <xf numFmtId="0" fontId="5" fillId="0" borderId="0" applyAlignment="0">
      <alignment horizontal="centerContinuous" vertical="center"/>
    </xf>
    <xf numFmtId="1" fontId="8" fillId="3" borderId="2">
      <alignment horizontal="center" vertical="center"/>
    </xf>
    <xf numFmtId="0" fontId="9" fillId="3" borderId="2">
      <alignment horizontal="center" vertical="center" wrapText="1"/>
    </xf>
    <xf numFmtId="0" fontId="10" fillId="3" borderId="2">
      <alignment horizontal="center" vertical="center" wrapText="1"/>
    </xf>
    <xf numFmtId="0" fontId="4" fillId="0" borderId="0"/>
    <xf numFmtId="0" fontId="13" fillId="0" borderId="3">
      <alignment horizontal="right" vertical="center" indent="1"/>
    </xf>
    <xf numFmtId="0" fontId="6" fillId="3" borderId="3">
      <alignment horizontal="right" vertical="center" wrapText="1" indent="1" readingOrder="2"/>
    </xf>
    <xf numFmtId="0" fontId="13" fillId="3" borderId="3">
      <alignment horizontal="left" vertical="center" wrapText="1" indent="1"/>
    </xf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 applyAlignment="0">
      <alignment horizontal="centerContinuous" vertical="center"/>
    </xf>
    <xf numFmtId="0" fontId="2" fillId="0" borderId="0" applyAlignment="0">
      <alignment horizontal="centerContinuous" vertical="center"/>
    </xf>
    <xf numFmtId="0" fontId="2" fillId="0" borderId="0" applyAlignment="0">
      <alignment horizontal="centerContinuous" vertical="center"/>
    </xf>
    <xf numFmtId="0" fontId="5" fillId="0" borderId="0" applyAlignment="0">
      <alignment horizontal="centerContinuous" vertical="center"/>
    </xf>
    <xf numFmtId="0" fontId="5" fillId="0" borderId="0" applyAlignment="0">
      <alignment horizontal="centerContinuous" vertical="center"/>
    </xf>
    <xf numFmtId="0" fontId="5" fillId="0" borderId="0" applyAlignment="0">
      <alignment horizontal="centerContinuous" vertical="center"/>
    </xf>
    <xf numFmtId="0" fontId="6" fillId="3" borderId="13">
      <alignment horizontal="right" vertical="center" wrapText="1"/>
    </xf>
    <xf numFmtId="0" fontId="6" fillId="3" borderId="13">
      <alignment horizontal="right" vertical="center" wrapText="1"/>
    </xf>
    <xf numFmtId="0" fontId="6" fillId="3" borderId="13">
      <alignment horizontal="right" vertical="center" wrapText="1"/>
    </xf>
    <xf numFmtId="1" fontId="18" fillId="3" borderId="14">
      <alignment horizontal="left" vertical="center" wrapText="1"/>
    </xf>
    <xf numFmtId="0" fontId="9" fillId="3" borderId="2">
      <alignment horizontal="center" vertical="center" wrapText="1"/>
    </xf>
    <xf numFmtId="0" fontId="9" fillId="3" borderId="2">
      <alignment horizontal="center" vertical="center" wrapText="1"/>
    </xf>
    <xf numFmtId="0" fontId="4" fillId="0" borderId="0">
      <alignment horizontal="center" vertical="center" readingOrder="2"/>
    </xf>
    <xf numFmtId="0" fontId="4" fillId="0" borderId="0">
      <alignment horizontal="center" vertical="center" readingOrder="2"/>
    </xf>
    <xf numFmtId="0" fontId="4" fillId="0" borderId="0">
      <alignment horizontal="center" vertical="center" readingOrder="2"/>
    </xf>
    <xf numFmtId="0" fontId="4" fillId="0" borderId="0">
      <alignment horizontal="center" vertical="center" readingOrder="2"/>
    </xf>
    <xf numFmtId="0" fontId="26" fillId="0" borderId="0">
      <alignment horizontal="left" vertical="center"/>
    </xf>
    <xf numFmtId="0" fontId="17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>
      <alignment horizontal="right" vertical="center"/>
    </xf>
    <xf numFmtId="0" fontId="28" fillId="0" borderId="0">
      <alignment horizontal="left" vertical="center"/>
    </xf>
    <xf numFmtId="9" fontId="17" fillId="0" borderId="0" applyFont="0" applyFill="0" applyBorder="0" applyAlignment="0" applyProtection="0"/>
    <xf numFmtId="0" fontId="6" fillId="0" borderId="0">
      <alignment horizontal="right" vertical="center"/>
    </xf>
    <xf numFmtId="0" fontId="6" fillId="0" borderId="0">
      <alignment horizontal="right" vertical="center"/>
    </xf>
    <xf numFmtId="0" fontId="6" fillId="0" borderId="0">
      <alignment horizontal="right" vertical="center"/>
    </xf>
    <xf numFmtId="0" fontId="4" fillId="0" borderId="0">
      <alignment horizontal="left" vertical="center"/>
    </xf>
    <xf numFmtId="0" fontId="4" fillId="0" borderId="0">
      <alignment horizontal="left" vertical="center"/>
    </xf>
    <xf numFmtId="0" fontId="4" fillId="0" borderId="0">
      <alignment horizontal="left" vertical="center"/>
    </xf>
    <xf numFmtId="0" fontId="4" fillId="0" borderId="0">
      <alignment horizontal="left" vertical="center"/>
    </xf>
    <xf numFmtId="0" fontId="4" fillId="0" borderId="0">
      <alignment horizontal="left" vertical="center"/>
    </xf>
    <xf numFmtId="0" fontId="4" fillId="0" borderId="0">
      <alignment horizontal="left" vertical="center"/>
    </xf>
    <xf numFmtId="0" fontId="4" fillId="0" borderId="0">
      <alignment horizontal="left" vertical="center"/>
    </xf>
    <xf numFmtId="0" fontId="4" fillId="0" borderId="0">
      <alignment horizontal="left" vertical="center"/>
    </xf>
    <xf numFmtId="0" fontId="29" fillId="3" borderId="2" applyAlignment="0">
      <alignment horizontal="center" vertical="center"/>
    </xf>
    <xf numFmtId="0" fontId="27" fillId="0" borderId="3">
      <alignment horizontal="right" vertical="center" indent="1"/>
    </xf>
    <xf numFmtId="0" fontId="27" fillId="0" borderId="3">
      <alignment horizontal="right" vertical="center" indent="1"/>
    </xf>
    <xf numFmtId="0" fontId="6" fillId="3" borderId="3">
      <alignment horizontal="right" vertical="center" wrapText="1" indent="1" readingOrder="2"/>
    </xf>
    <xf numFmtId="0" fontId="6" fillId="3" borderId="3">
      <alignment horizontal="right" vertical="center" wrapText="1" indent="1" readingOrder="2"/>
    </xf>
    <xf numFmtId="0" fontId="6" fillId="3" borderId="3">
      <alignment horizontal="right" vertical="center" wrapText="1" indent="1" readingOrder="2"/>
    </xf>
    <xf numFmtId="0" fontId="6" fillId="3" borderId="3">
      <alignment horizontal="right" vertical="center" wrapText="1" indent="1" readingOrder="2"/>
    </xf>
    <xf numFmtId="0" fontId="6" fillId="3" borderId="3">
      <alignment horizontal="right" vertical="center" wrapText="1" indent="1" readingOrder="2"/>
    </xf>
    <xf numFmtId="0" fontId="13" fillId="0" borderId="3">
      <alignment horizontal="right" vertical="center" indent="1"/>
    </xf>
    <xf numFmtId="0" fontId="13" fillId="3" borderId="3">
      <alignment horizontal="left" vertical="center" wrapText="1" indent="1"/>
    </xf>
    <xf numFmtId="0" fontId="13" fillId="0" borderId="15">
      <alignment horizontal="left" vertical="center"/>
    </xf>
    <xf numFmtId="0" fontId="13" fillId="0" borderId="16">
      <alignment horizontal="left" vertical="center"/>
    </xf>
    <xf numFmtId="0" fontId="32" fillId="0" borderId="0" applyNumberFormat="0" applyFill="0" applyBorder="0" applyAlignment="0" applyProtection="0"/>
  </cellStyleXfs>
  <cellXfs count="106">
    <xf numFmtId="0" fontId="0" fillId="0" borderId="0" xfId="0"/>
    <xf numFmtId="0" fontId="3" fillId="0" borderId="0" xfId="1" applyFont="1" applyAlignment="1">
      <alignment vertical="center"/>
    </xf>
    <xf numFmtId="0" fontId="3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/>
    </xf>
    <xf numFmtId="0" fontId="12" fillId="0" borderId="0" xfId="2" applyFont="1" applyAlignment="1">
      <alignment horizontal="right" vertical="center" indent="1"/>
    </xf>
    <xf numFmtId="0" fontId="12" fillId="0" borderId="1" xfId="2" applyFont="1" applyBorder="1" applyAlignment="1">
      <alignment vertical="center"/>
    </xf>
    <xf numFmtId="0" fontId="4" fillId="0" borderId="0" xfId="7"/>
    <xf numFmtId="3" fontId="7" fillId="0" borderId="0" xfId="8" applyNumberFormat="1" applyFont="1" applyBorder="1">
      <alignment horizontal="right" vertical="center" indent="1"/>
    </xf>
    <xf numFmtId="0" fontId="14" fillId="0" borderId="0" xfId="2" applyFont="1" applyAlignment="1">
      <alignment horizontal="center" vertical="center"/>
    </xf>
    <xf numFmtId="0" fontId="4" fillId="0" borderId="0" xfId="2" applyAlignment="1">
      <alignment horizontal="center" vertical="center"/>
    </xf>
    <xf numFmtId="0" fontId="4" fillId="0" borderId="4" xfId="2" applyBorder="1" applyAlignment="1">
      <alignment horizontal="center" vertical="center"/>
    </xf>
    <xf numFmtId="0" fontId="4" fillId="0" borderId="0" xfId="2" applyAlignment="1">
      <alignment vertical="center"/>
    </xf>
    <xf numFmtId="3" fontId="4" fillId="2" borderId="5" xfId="8" applyNumberFormat="1" applyFont="1" applyFill="1" applyBorder="1">
      <alignment horizontal="right" vertical="center" indent="1"/>
    </xf>
    <xf numFmtId="3" fontId="7" fillId="2" borderId="5" xfId="8" applyNumberFormat="1" applyFont="1" applyFill="1" applyBorder="1">
      <alignment horizontal="right" vertical="center" indent="1"/>
    </xf>
    <xf numFmtId="0" fontId="6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right" vertical="center" indent="1"/>
    </xf>
    <xf numFmtId="0" fontId="4" fillId="2" borderId="0" xfId="7" applyFill="1"/>
    <xf numFmtId="1" fontId="7" fillId="2" borderId="0" xfId="2" applyNumberFormat="1" applyFont="1" applyFill="1" applyAlignment="1">
      <alignment horizontal="center" vertical="center"/>
    </xf>
    <xf numFmtId="3" fontId="7" fillId="2" borderId="5" xfId="8" applyNumberFormat="1" applyFont="1" applyFill="1" applyBorder="1" applyAlignment="1">
      <alignment horizontal="center" vertical="center"/>
    </xf>
    <xf numFmtId="3" fontId="4" fillId="2" borderId="5" xfId="8" applyNumberFormat="1" applyFont="1" applyFill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 wrapText="1"/>
    </xf>
    <xf numFmtId="1" fontId="6" fillId="2" borderId="0" xfId="2" applyNumberFormat="1" applyFont="1" applyFill="1" applyAlignment="1">
      <alignment horizontal="right"/>
    </xf>
    <xf numFmtId="1" fontId="7" fillId="2" borderId="0" xfId="2" applyNumberFormat="1" applyFont="1" applyFill="1" applyAlignment="1">
      <alignment horizontal="left"/>
    </xf>
    <xf numFmtId="0" fontId="15" fillId="2" borderId="0" xfId="3" applyFont="1" applyFill="1" applyAlignment="1">
      <alignment horizontal="right" wrapText="1"/>
    </xf>
    <xf numFmtId="0" fontId="6" fillId="2" borderId="0" xfId="3" applyFont="1" applyFill="1" applyAlignment="1"/>
    <xf numFmtId="0" fontId="16" fillId="0" borderId="0" xfId="0" applyFont="1" applyAlignment="1">
      <alignment horizontal="left" wrapText="1"/>
    </xf>
    <xf numFmtId="49" fontId="14" fillId="2" borderId="5" xfId="9" applyNumberFormat="1" applyFont="1" applyFill="1" applyBorder="1">
      <alignment horizontal="right" vertical="center" wrapText="1" indent="1" readingOrder="2"/>
    </xf>
    <xf numFmtId="49" fontId="14" fillId="2" borderId="6" xfId="9" applyNumberFormat="1" applyFont="1" applyFill="1" applyBorder="1">
      <alignment horizontal="right" vertical="center" wrapText="1" indent="1" readingOrder="2"/>
    </xf>
    <xf numFmtId="49" fontId="18" fillId="2" borderId="5" xfId="10" applyNumberFormat="1" applyFont="1" applyFill="1" applyBorder="1">
      <alignment horizontal="left" vertical="center" wrapText="1" indent="1"/>
    </xf>
    <xf numFmtId="49" fontId="18" fillId="2" borderId="6" xfId="10" applyNumberFormat="1" applyFont="1" applyFill="1" applyBorder="1">
      <alignment horizontal="left" vertical="center" wrapText="1" indent="1"/>
    </xf>
    <xf numFmtId="0" fontId="14" fillId="2" borderId="5" xfId="9" applyFont="1" applyFill="1" applyBorder="1">
      <alignment horizontal="right" vertical="center" wrapText="1" indent="1" readingOrder="2"/>
    </xf>
    <xf numFmtId="3" fontId="14" fillId="2" borderId="5" xfId="8" applyNumberFormat="1" applyFont="1" applyFill="1" applyBorder="1">
      <alignment horizontal="right" vertical="center" indent="1"/>
    </xf>
    <xf numFmtId="0" fontId="7" fillId="2" borderId="5" xfId="10" applyFont="1" applyFill="1" applyBorder="1">
      <alignment horizontal="left" vertical="center" wrapText="1" indent="1"/>
    </xf>
    <xf numFmtId="0" fontId="3" fillId="2" borderId="0" xfId="2" applyFont="1" applyFill="1"/>
    <xf numFmtId="0" fontId="4" fillId="2" borderId="0" xfId="2" applyFill="1"/>
    <xf numFmtId="0" fontId="6" fillId="2" borderId="0" xfId="2" applyFont="1" applyFill="1"/>
    <xf numFmtId="0" fontId="4" fillId="0" borderId="0" xfId="2"/>
    <xf numFmtId="0" fontId="22" fillId="2" borderId="0" xfId="2" applyFont="1" applyFill="1" applyAlignment="1">
      <alignment horizontal="center"/>
    </xf>
    <xf numFmtId="0" fontId="6" fillId="2" borderId="0" xfId="2" applyFont="1" applyFill="1" applyAlignment="1">
      <alignment horizontal="right"/>
    </xf>
    <xf numFmtId="0" fontId="7" fillId="2" borderId="0" xfId="2" applyFont="1" applyFill="1" applyAlignment="1">
      <alignment horizontal="left"/>
    </xf>
    <xf numFmtId="0" fontId="6" fillId="0" borderId="8" xfId="2" applyFont="1" applyBorder="1" applyAlignment="1">
      <alignment vertical="center" wrapText="1"/>
    </xf>
    <xf numFmtId="0" fontId="7" fillId="0" borderId="9" xfId="2" applyFont="1" applyBorder="1" applyAlignment="1">
      <alignment vertical="center" wrapText="1"/>
    </xf>
    <xf numFmtId="0" fontId="7" fillId="2" borderId="10" xfId="2" applyFont="1" applyFill="1" applyBorder="1" applyAlignment="1">
      <alignment vertical="center"/>
    </xf>
    <xf numFmtId="0" fontId="6" fillId="0" borderId="8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7" fillId="0" borderId="12" xfId="2" applyFont="1" applyBorder="1" applyAlignment="1">
      <alignment vertical="center"/>
    </xf>
    <xf numFmtId="0" fontId="7" fillId="0" borderId="12" xfId="2" applyFont="1" applyBorder="1" applyAlignment="1">
      <alignment horizontal="center" vertical="center" wrapText="1"/>
    </xf>
    <xf numFmtId="0" fontId="9" fillId="0" borderId="12" xfId="2" applyFont="1" applyBorder="1" applyAlignment="1">
      <alignment vertical="center"/>
    </xf>
    <xf numFmtId="0" fontId="9" fillId="2" borderId="5" xfId="5" applyFill="1" applyBorder="1">
      <alignment horizontal="center" vertical="center" wrapText="1"/>
    </xf>
    <xf numFmtId="49" fontId="14" fillId="2" borderId="7" xfId="9" applyNumberFormat="1" applyFont="1" applyFill="1" applyBorder="1">
      <alignment horizontal="right" vertical="center" wrapText="1" indent="1" readingOrder="2"/>
    </xf>
    <xf numFmtId="0" fontId="18" fillId="2" borderId="7" xfId="10" applyFont="1" applyFill="1" applyBorder="1">
      <alignment horizontal="left" vertical="center" wrapText="1" indent="1"/>
    </xf>
    <xf numFmtId="49" fontId="14" fillId="2" borderId="17" xfId="9" applyNumberFormat="1" applyFont="1" applyFill="1" applyBorder="1">
      <alignment horizontal="right" vertical="center" wrapText="1" indent="1" readingOrder="2"/>
    </xf>
    <xf numFmtId="3" fontId="4" fillId="2" borderId="17" xfId="8" applyNumberFormat="1" applyFont="1" applyFill="1" applyBorder="1">
      <alignment horizontal="right" vertical="center" indent="1"/>
    </xf>
    <xf numFmtId="3" fontId="7" fillId="2" borderId="17" xfId="8" applyNumberFormat="1" applyFont="1" applyFill="1" applyBorder="1">
      <alignment horizontal="right" vertical="center" indent="1"/>
    </xf>
    <xf numFmtId="49" fontId="18" fillId="2" borderId="17" xfId="10" applyNumberFormat="1" applyFont="1" applyFill="1" applyBorder="1">
      <alignment horizontal="left" vertical="center" wrapText="1" indent="1"/>
    </xf>
    <xf numFmtId="49" fontId="14" fillId="0" borderId="5" xfId="9" applyNumberFormat="1" applyFont="1" applyFill="1" applyBorder="1">
      <alignment horizontal="right" vertical="center" wrapText="1" indent="1" readingOrder="2"/>
    </xf>
    <xf numFmtId="3" fontId="7" fillId="0" borderId="5" xfId="8" applyNumberFormat="1" applyFont="1" applyBorder="1">
      <alignment horizontal="right" vertical="center" indent="1"/>
    </xf>
    <xf numFmtId="0" fontId="18" fillId="0" borderId="5" xfId="10" applyFont="1" applyFill="1" applyBorder="1">
      <alignment horizontal="left" vertical="center" wrapText="1" indent="1"/>
    </xf>
    <xf numFmtId="0" fontId="0" fillId="2" borderId="0" xfId="0" applyFill="1"/>
    <xf numFmtId="0" fontId="6" fillId="2" borderId="5" xfId="3" applyFont="1" applyFill="1" applyBorder="1" applyAlignment="1">
      <alignment vertical="center" wrapText="1"/>
    </xf>
    <xf numFmtId="0" fontId="30" fillId="0" borderId="5" xfId="0" applyFont="1" applyBorder="1" applyAlignment="1">
      <alignment horizontal="left" vertical="center" wrapText="1"/>
    </xf>
    <xf numFmtId="0" fontId="6" fillId="2" borderId="5" xfId="3" applyFont="1" applyFill="1" applyBorder="1" applyAlignment="1">
      <alignment horizontal="right" vertical="top" wrapText="1"/>
    </xf>
    <xf numFmtId="0" fontId="6" fillId="2" borderId="19" xfId="3" applyFont="1" applyFill="1" applyBorder="1" applyAlignment="1">
      <alignment vertical="center" wrapText="1"/>
    </xf>
    <xf numFmtId="0" fontId="6" fillId="2" borderId="18" xfId="3" applyFont="1" applyFill="1" applyBorder="1" applyAlignment="1">
      <alignment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6" fillId="2" borderId="0" xfId="3" applyFont="1" applyFill="1" applyAlignment="1">
      <alignment vertical="center" wrapText="1"/>
    </xf>
    <xf numFmtId="0" fontId="6" fillId="2" borderId="19" xfId="3" applyFont="1" applyFill="1" applyBorder="1" applyAlignment="1">
      <alignment horizontal="right" vertical="top" wrapText="1"/>
    </xf>
    <xf numFmtId="0" fontId="14" fillId="2" borderId="5" xfId="3" applyFont="1" applyFill="1" applyBorder="1" applyAlignment="1">
      <alignment vertical="center" wrapText="1"/>
    </xf>
    <xf numFmtId="0" fontId="31" fillId="0" borderId="5" xfId="0" applyFont="1" applyBorder="1" applyAlignment="1">
      <alignment horizontal="left" vertical="center" wrapText="1"/>
    </xf>
    <xf numFmtId="3" fontId="4" fillId="2" borderId="6" xfId="8" applyNumberFormat="1" applyFont="1" applyFill="1" applyBorder="1" applyAlignment="1">
      <alignment horizontal="center" vertical="center"/>
    </xf>
    <xf numFmtId="3" fontId="7" fillId="2" borderId="7" xfId="8" applyNumberFormat="1" applyFont="1" applyFill="1" applyBorder="1" applyAlignment="1">
      <alignment horizontal="center" vertical="center"/>
    </xf>
    <xf numFmtId="0" fontId="23" fillId="0" borderId="12" xfId="2" applyFont="1" applyBorder="1" applyAlignment="1">
      <alignment horizontal="center" vertical="center" wrapText="1"/>
    </xf>
    <xf numFmtId="0" fontId="24" fillId="0" borderId="12" xfId="2" applyFont="1" applyBorder="1" applyAlignment="1">
      <alignment horizontal="center" vertical="center" wrapText="1"/>
    </xf>
    <xf numFmtId="0" fontId="19" fillId="2" borderId="0" xfId="2" applyFont="1" applyFill="1" applyAlignment="1">
      <alignment horizontal="center"/>
    </xf>
    <xf numFmtId="0" fontId="20" fillId="2" borderId="0" xfId="2" applyFont="1" applyFill="1" applyAlignment="1">
      <alignment horizontal="center"/>
    </xf>
    <xf numFmtId="0" fontId="21" fillId="2" borderId="0" xfId="2" applyFont="1" applyFill="1" applyAlignment="1">
      <alignment horizontal="center"/>
    </xf>
    <xf numFmtId="0" fontId="7" fillId="0" borderId="9" xfId="2" applyFont="1" applyBorder="1" applyAlignment="1">
      <alignment horizontal="center" vertical="center" wrapText="1"/>
    </xf>
    <xf numFmtId="0" fontId="32" fillId="0" borderId="9" xfId="178" applyBorder="1" applyAlignment="1">
      <alignment horizontal="center" vertical="center" wrapText="1"/>
    </xf>
    <xf numFmtId="0" fontId="22" fillId="2" borderId="0" xfId="2" applyFont="1" applyFill="1" applyAlignment="1">
      <alignment horizontal="center"/>
    </xf>
    <xf numFmtId="0" fontId="15" fillId="2" borderId="5" xfId="3" applyFont="1" applyFill="1" applyBorder="1" applyAlignment="1">
      <alignment horizontal="center" vertical="center"/>
    </xf>
    <xf numFmtId="0" fontId="32" fillId="2" borderId="5" xfId="178" applyFill="1" applyBorder="1" applyAlignment="1">
      <alignment horizontal="center" vertical="center" wrapText="1"/>
    </xf>
    <xf numFmtId="0" fontId="15" fillId="2" borderId="5" xfId="3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14" fillId="2" borderId="0" xfId="3" applyFont="1" applyFill="1" applyAlignment="1">
      <alignment horizontal="center" vertical="center" wrapText="1"/>
    </xf>
    <xf numFmtId="1" fontId="8" fillId="2" borderId="5" xfId="4" applyFill="1" applyBorder="1">
      <alignment horizontal="center" vertical="center"/>
    </xf>
    <xf numFmtId="0" fontId="6" fillId="2" borderId="5" xfId="5" applyFont="1" applyFill="1" applyBorder="1" applyAlignment="1">
      <alignment horizontal="center" vertical="center"/>
    </xf>
    <xf numFmtId="0" fontId="11" fillId="2" borderId="5" xfId="6" applyFont="1" applyFill="1" applyBorder="1">
      <alignment horizontal="center" vertical="center" wrapText="1"/>
    </xf>
    <xf numFmtId="0" fontId="14" fillId="2" borderId="5" xfId="5" applyFont="1" applyFill="1" applyBorder="1" applyAlignment="1">
      <alignment horizontal="center" vertical="center"/>
    </xf>
    <xf numFmtId="0" fontId="14" fillId="2" borderId="5" xfId="5" applyFont="1" applyFill="1" applyBorder="1">
      <alignment horizontal="center" vertical="center" wrapText="1"/>
    </xf>
    <xf numFmtId="1" fontId="7" fillId="2" borderId="0" xfId="2" applyNumberFormat="1" applyFont="1" applyFill="1" applyAlignment="1">
      <alignment horizontal="center"/>
    </xf>
    <xf numFmtId="0" fontId="3" fillId="2" borderId="0" xfId="42" applyFont="1" applyFill="1" applyAlignment="1">
      <alignment horizontal="center" vertical="center" readingOrder="2"/>
    </xf>
    <xf numFmtId="0" fontId="6" fillId="2" borderId="0" xfId="3" applyFont="1" applyFill="1" applyAlignment="1">
      <alignment horizontal="center" vertical="center" wrapText="1"/>
    </xf>
    <xf numFmtId="0" fontId="7" fillId="2" borderId="5" xfId="5" applyFont="1" applyFill="1" applyBorder="1">
      <alignment horizontal="center" vertical="center" wrapText="1"/>
    </xf>
    <xf numFmtId="0" fontId="14" fillId="2" borderId="0" xfId="3" applyFont="1" applyFill="1" applyAlignment="1">
      <alignment horizontal="center" vertical="center"/>
    </xf>
    <xf numFmtId="0" fontId="7" fillId="2" borderId="5" xfId="5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15" fillId="2" borderId="19" xfId="3" applyFont="1" applyFill="1" applyBorder="1" applyAlignment="1">
      <alignment horizontal="center" vertical="center"/>
    </xf>
    <xf numFmtId="0" fontId="15" fillId="2" borderId="0" xfId="3" applyFont="1" applyFill="1" applyAlignment="1">
      <alignment horizontal="center" vertical="center" wrapText="1"/>
    </xf>
    <xf numFmtId="0" fontId="30" fillId="0" borderId="19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10" fillId="2" borderId="5" xfId="6" applyFill="1" applyBorder="1">
      <alignment horizontal="center" vertical="center" wrapText="1"/>
    </xf>
  </cellXfs>
  <cellStyles count="179">
    <cellStyle name="Comma 2" xfId="11" xr:uid="{00000000-0005-0000-0000-000000000000}"/>
    <cellStyle name="Comma 2 2" xfId="12" xr:uid="{00000000-0005-0000-0000-000001000000}"/>
    <cellStyle name="Comma 2 2 2" xfId="13" xr:uid="{00000000-0005-0000-0000-000002000000}"/>
    <cellStyle name="Comma 2 3" xfId="14" xr:uid="{00000000-0005-0000-0000-000003000000}"/>
    <cellStyle name="Comma 3" xfId="15" xr:uid="{00000000-0005-0000-0000-000004000000}"/>
    <cellStyle name="Comma 4" xfId="16" xr:uid="{00000000-0005-0000-0000-000005000000}"/>
    <cellStyle name="Comma 4 2" xfId="17" xr:uid="{00000000-0005-0000-0000-000006000000}"/>
    <cellStyle name="Comma 6" xfId="18" xr:uid="{00000000-0005-0000-0000-000007000000}"/>
    <cellStyle name="H1" xfId="1" xr:uid="{00000000-0005-0000-0000-000008000000}"/>
    <cellStyle name="H1 2" xfId="19" xr:uid="{00000000-0005-0000-0000-000009000000}"/>
    <cellStyle name="H1 2 2" xfId="20" xr:uid="{00000000-0005-0000-0000-00000A000000}"/>
    <cellStyle name="H1_خدمات الانقاذ والإغاثة" xfId="21" xr:uid="{00000000-0005-0000-0000-00000B000000}"/>
    <cellStyle name="H2" xfId="3" xr:uid="{00000000-0005-0000-0000-00000C000000}"/>
    <cellStyle name="H2 2" xfId="22" xr:uid="{00000000-0005-0000-0000-00000D000000}"/>
    <cellStyle name="H2 2 2" xfId="23" xr:uid="{00000000-0005-0000-0000-00000E000000}"/>
    <cellStyle name="H2_خدمات الانقاذ والإغاثة" xfId="24" xr:uid="{00000000-0005-0000-0000-00000F000000}"/>
    <cellStyle name="had" xfId="25" xr:uid="{00000000-0005-0000-0000-000010000000}"/>
    <cellStyle name="had 2" xfId="26" xr:uid="{00000000-0005-0000-0000-000011000000}"/>
    <cellStyle name="had 2 2" xfId="27" xr:uid="{00000000-0005-0000-0000-000012000000}"/>
    <cellStyle name="had0" xfId="28" xr:uid="{00000000-0005-0000-0000-000013000000}"/>
    <cellStyle name="Had1" xfId="4" xr:uid="{00000000-0005-0000-0000-000014000000}"/>
    <cellStyle name="Had2" xfId="6" xr:uid="{00000000-0005-0000-0000-000015000000}"/>
    <cellStyle name="Had3" xfId="5" xr:uid="{00000000-0005-0000-0000-000016000000}"/>
    <cellStyle name="Had3 2" xfId="29" xr:uid="{00000000-0005-0000-0000-000017000000}"/>
    <cellStyle name="Had3 2 2" xfId="30" xr:uid="{00000000-0005-0000-0000-000018000000}"/>
    <cellStyle name="Hyperlink" xfId="178" builtinId="8"/>
    <cellStyle name="inxa" xfId="31" xr:uid="{00000000-0005-0000-0000-000019000000}"/>
    <cellStyle name="inxa 2" xfId="32" xr:uid="{00000000-0005-0000-0000-00001A000000}"/>
    <cellStyle name="inxa 2 2" xfId="33" xr:uid="{00000000-0005-0000-0000-00001B000000}"/>
    <cellStyle name="inxa 3" xfId="34" xr:uid="{00000000-0005-0000-0000-00001C000000}"/>
    <cellStyle name="inxe" xfId="35" xr:uid="{00000000-0005-0000-0000-00001D000000}"/>
    <cellStyle name="Normal" xfId="0" builtinId="0"/>
    <cellStyle name="Normal 10" xfId="36" xr:uid="{00000000-0005-0000-0000-00001F000000}"/>
    <cellStyle name="Normal 10 3" xfId="37" xr:uid="{00000000-0005-0000-0000-000020000000}"/>
    <cellStyle name="Normal 11" xfId="38" xr:uid="{00000000-0005-0000-0000-000021000000}"/>
    <cellStyle name="Normal 11 2" xfId="39" xr:uid="{00000000-0005-0000-0000-000022000000}"/>
    <cellStyle name="Normal 12" xfId="40" xr:uid="{00000000-0005-0000-0000-000023000000}"/>
    <cellStyle name="Normal 13" xfId="41" xr:uid="{00000000-0005-0000-0000-000024000000}"/>
    <cellStyle name="Normal 2" xfId="2" xr:uid="{00000000-0005-0000-0000-000025000000}"/>
    <cellStyle name="Normal 2 2" xfId="42" xr:uid="{00000000-0005-0000-0000-000026000000}"/>
    <cellStyle name="Normal 2 2 2" xfId="7" xr:uid="{00000000-0005-0000-0000-000027000000}"/>
    <cellStyle name="Normal 2 3" xfId="43" xr:uid="{00000000-0005-0000-0000-000028000000}"/>
    <cellStyle name="Normal 2 3 2" xfId="44" xr:uid="{00000000-0005-0000-0000-000029000000}"/>
    <cellStyle name="Normal 2 4" xfId="45" xr:uid="{00000000-0005-0000-0000-00002A000000}"/>
    <cellStyle name="Normal 2 4 2" xfId="46" xr:uid="{00000000-0005-0000-0000-00002B000000}"/>
    <cellStyle name="Normal 2 4 2 2" xfId="47" xr:uid="{00000000-0005-0000-0000-00002C000000}"/>
    <cellStyle name="Normal 2 4 2 2 2" xfId="48" xr:uid="{00000000-0005-0000-0000-00002D000000}"/>
    <cellStyle name="Normal 2 4 2 3" xfId="49" xr:uid="{00000000-0005-0000-0000-00002E000000}"/>
    <cellStyle name="Normal 2 4 3" xfId="50" xr:uid="{00000000-0005-0000-0000-00002F000000}"/>
    <cellStyle name="Normal 2 4 3 2" xfId="51" xr:uid="{00000000-0005-0000-0000-000030000000}"/>
    <cellStyle name="Normal 2 4 3 2 2" xfId="52" xr:uid="{00000000-0005-0000-0000-000031000000}"/>
    <cellStyle name="Normal 2 4 3 3" xfId="53" xr:uid="{00000000-0005-0000-0000-000032000000}"/>
    <cellStyle name="Normal 2 4 4" xfId="54" xr:uid="{00000000-0005-0000-0000-000033000000}"/>
    <cellStyle name="Normal 2 4 4 2" xfId="55" xr:uid="{00000000-0005-0000-0000-000034000000}"/>
    <cellStyle name="Normal 2 4 4 2 2" xfId="56" xr:uid="{00000000-0005-0000-0000-000035000000}"/>
    <cellStyle name="Normal 2 4 4 3" xfId="57" xr:uid="{00000000-0005-0000-0000-000036000000}"/>
    <cellStyle name="Normal 2 4 5" xfId="58" xr:uid="{00000000-0005-0000-0000-000037000000}"/>
    <cellStyle name="Normal 2 4 5 2" xfId="59" xr:uid="{00000000-0005-0000-0000-000038000000}"/>
    <cellStyle name="Normal 2 4 6" xfId="60" xr:uid="{00000000-0005-0000-0000-000039000000}"/>
    <cellStyle name="Normal 2 5" xfId="61" xr:uid="{00000000-0005-0000-0000-00003A000000}"/>
    <cellStyle name="Normal 3" xfId="62" xr:uid="{00000000-0005-0000-0000-00003B000000}"/>
    <cellStyle name="Normal 3 2" xfId="63" xr:uid="{00000000-0005-0000-0000-00003C000000}"/>
    <cellStyle name="Normal 3 2 2 2" xfId="64" xr:uid="{00000000-0005-0000-0000-00003D000000}"/>
    <cellStyle name="Normal 3 3" xfId="65" xr:uid="{00000000-0005-0000-0000-00003E000000}"/>
    <cellStyle name="Normal 3 3 2" xfId="66" xr:uid="{00000000-0005-0000-0000-00003F000000}"/>
    <cellStyle name="Normal 3 4" xfId="67" xr:uid="{00000000-0005-0000-0000-000040000000}"/>
    <cellStyle name="Normal 4" xfId="68" xr:uid="{00000000-0005-0000-0000-000041000000}"/>
    <cellStyle name="Normal 4 2" xfId="69" xr:uid="{00000000-0005-0000-0000-000042000000}"/>
    <cellStyle name="Normal 4 2 2" xfId="70" xr:uid="{00000000-0005-0000-0000-000043000000}"/>
    <cellStyle name="Normal 4 2 2 2" xfId="71" xr:uid="{00000000-0005-0000-0000-000044000000}"/>
    <cellStyle name="Normal 4 2 2 2 2" xfId="72" xr:uid="{00000000-0005-0000-0000-000045000000}"/>
    <cellStyle name="Normal 4 2 2 2 2 2" xfId="73" xr:uid="{00000000-0005-0000-0000-000046000000}"/>
    <cellStyle name="Normal 4 2 2 2 3" xfId="74" xr:uid="{00000000-0005-0000-0000-000047000000}"/>
    <cellStyle name="Normal 4 2 2 3" xfId="75" xr:uid="{00000000-0005-0000-0000-000048000000}"/>
    <cellStyle name="Normal 4 2 2 3 2" xfId="76" xr:uid="{00000000-0005-0000-0000-000049000000}"/>
    <cellStyle name="Normal 4 2 2 3 2 2" xfId="77" xr:uid="{00000000-0005-0000-0000-00004A000000}"/>
    <cellStyle name="Normal 4 2 2 3 3" xfId="78" xr:uid="{00000000-0005-0000-0000-00004B000000}"/>
    <cellStyle name="Normal 4 2 2 4" xfId="79" xr:uid="{00000000-0005-0000-0000-00004C000000}"/>
    <cellStyle name="Normal 4 2 2 4 2" xfId="80" xr:uid="{00000000-0005-0000-0000-00004D000000}"/>
    <cellStyle name="Normal 4 2 2 4 2 2" xfId="81" xr:uid="{00000000-0005-0000-0000-00004E000000}"/>
    <cellStyle name="Normal 4 2 2 4 3" xfId="82" xr:uid="{00000000-0005-0000-0000-00004F000000}"/>
    <cellStyle name="Normal 4 2 2 5" xfId="83" xr:uid="{00000000-0005-0000-0000-000050000000}"/>
    <cellStyle name="Normal 4 2 2 5 2" xfId="84" xr:uid="{00000000-0005-0000-0000-000051000000}"/>
    <cellStyle name="Normal 4 2 2 6" xfId="85" xr:uid="{00000000-0005-0000-0000-000052000000}"/>
    <cellStyle name="Normal 4 2 3" xfId="86" xr:uid="{00000000-0005-0000-0000-000053000000}"/>
    <cellStyle name="Normal 4 2 3 2" xfId="87" xr:uid="{00000000-0005-0000-0000-000054000000}"/>
    <cellStyle name="Normal 4 2 3 2 2" xfId="88" xr:uid="{00000000-0005-0000-0000-000055000000}"/>
    <cellStyle name="Normal 4 2 3 2 2 2" xfId="89" xr:uid="{00000000-0005-0000-0000-000056000000}"/>
    <cellStyle name="Normal 4 2 3 2 3" xfId="90" xr:uid="{00000000-0005-0000-0000-000057000000}"/>
    <cellStyle name="Normal 4 2 3 3" xfId="91" xr:uid="{00000000-0005-0000-0000-000058000000}"/>
    <cellStyle name="Normal 4 2 3 3 2" xfId="92" xr:uid="{00000000-0005-0000-0000-000059000000}"/>
    <cellStyle name="Normal 4 2 3 3 2 2" xfId="93" xr:uid="{00000000-0005-0000-0000-00005A000000}"/>
    <cellStyle name="Normal 4 2 3 3 3" xfId="94" xr:uid="{00000000-0005-0000-0000-00005B000000}"/>
    <cellStyle name="Normal 4 2 3 4" xfId="95" xr:uid="{00000000-0005-0000-0000-00005C000000}"/>
    <cellStyle name="Normal 4 2 3 4 2" xfId="96" xr:uid="{00000000-0005-0000-0000-00005D000000}"/>
    <cellStyle name="Normal 4 2 3 4 2 2" xfId="97" xr:uid="{00000000-0005-0000-0000-00005E000000}"/>
    <cellStyle name="Normal 4 2 3 4 3" xfId="98" xr:uid="{00000000-0005-0000-0000-00005F000000}"/>
    <cellStyle name="Normal 4 2 3 5" xfId="99" xr:uid="{00000000-0005-0000-0000-000060000000}"/>
    <cellStyle name="Normal 4 2 3 5 2" xfId="100" xr:uid="{00000000-0005-0000-0000-000061000000}"/>
    <cellStyle name="Normal 4 2 3 6" xfId="101" xr:uid="{00000000-0005-0000-0000-000062000000}"/>
    <cellStyle name="Normal 4 2 4" xfId="102" xr:uid="{00000000-0005-0000-0000-000063000000}"/>
    <cellStyle name="Normal 4 2 4 2" xfId="103" xr:uid="{00000000-0005-0000-0000-000064000000}"/>
    <cellStyle name="Normal 4 2 4 2 2" xfId="104" xr:uid="{00000000-0005-0000-0000-000065000000}"/>
    <cellStyle name="Normal 4 2 4 3" xfId="105" xr:uid="{00000000-0005-0000-0000-000066000000}"/>
    <cellStyle name="Normal 4 2 5" xfId="106" xr:uid="{00000000-0005-0000-0000-000067000000}"/>
    <cellStyle name="Normal 4 2 5 2" xfId="107" xr:uid="{00000000-0005-0000-0000-000068000000}"/>
    <cellStyle name="Normal 4 2 5 2 2" xfId="108" xr:uid="{00000000-0005-0000-0000-000069000000}"/>
    <cellStyle name="Normal 4 2 5 3" xfId="109" xr:uid="{00000000-0005-0000-0000-00006A000000}"/>
    <cellStyle name="Normal 4 2 6" xfId="110" xr:uid="{00000000-0005-0000-0000-00006B000000}"/>
    <cellStyle name="Normal 4 2 6 2" xfId="111" xr:uid="{00000000-0005-0000-0000-00006C000000}"/>
    <cellStyle name="Normal 4 2 6 2 2" xfId="112" xr:uid="{00000000-0005-0000-0000-00006D000000}"/>
    <cellStyle name="Normal 4 2 6 3" xfId="113" xr:uid="{00000000-0005-0000-0000-00006E000000}"/>
    <cellStyle name="Normal 4 2 7" xfId="114" xr:uid="{00000000-0005-0000-0000-00006F000000}"/>
    <cellStyle name="Normal 4 2 7 2" xfId="115" xr:uid="{00000000-0005-0000-0000-000070000000}"/>
    <cellStyle name="Normal 4 2 7 2 2" xfId="116" xr:uid="{00000000-0005-0000-0000-000071000000}"/>
    <cellStyle name="Normal 4 2 7 3" xfId="117" xr:uid="{00000000-0005-0000-0000-000072000000}"/>
    <cellStyle name="Normal 4 2 8" xfId="118" xr:uid="{00000000-0005-0000-0000-000073000000}"/>
    <cellStyle name="Normal 4 2 8 2" xfId="119" xr:uid="{00000000-0005-0000-0000-000074000000}"/>
    <cellStyle name="Normal 4 2 9" xfId="120" xr:uid="{00000000-0005-0000-0000-000075000000}"/>
    <cellStyle name="Normal 4 3" xfId="121" xr:uid="{00000000-0005-0000-0000-000076000000}"/>
    <cellStyle name="Normal 4 3 2" xfId="122" xr:uid="{00000000-0005-0000-0000-000077000000}"/>
    <cellStyle name="Normal 4 4" xfId="123" xr:uid="{00000000-0005-0000-0000-000078000000}"/>
    <cellStyle name="Normal 4 4 2" xfId="124" xr:uid="{00000000-0005-0000-0000-000079000000}"/>
    <cellStyle name="Normal 5" xfId="125" xr:uid="{00000000-0005-0000-0000-00007A000000}"/>
    <cellStyle name="Normal 5 2" xfId="126" xr:uid="{00000000-0005-0000-0000-00007B000000}"/>
    <cellStyle name="Normal 6" xfId="127" xr:uid="{00000000-0005-0000-0000-00007C000000}"/>
    <cellStyle name="Normal 6 2" xfId="128" xr:uid="{00000000-0005-0000-0000-00007D000000}"/>
    <cellStyle name="Normal 6 2 2" xfId="129" xr:uid="{00000000-0005-0000-0000-00007E000000}"/>
    <cellStyle name="Normal 6 3" xfId="130" xr:uid="{00000000-0005-0000-0000-00007F000000}"/>
    <cellStyle name="Normal 7" xfId="131" xr:uid="{00000000-0005-0000-0000-000080000000}"/>
    <cellStyle name="Normal 7 2" xfId="132" xr:uid="{00000000-0005-0000-0000-000081000000}"/>
    <cellStyle name="Normal 7 2 2" xfId="133" xr:uid="{00000000-0005-0000-0000-000082000000}"/>
    <cellStyle name="Normal 7 2 2 2" xfId="134" xr:uid="{00000000-0005-0000-0000-000083000000}"/>
    <cellStyle name="Normal 7 2 3" xfId="135" xr:uid="{00000000-0005-0000-0000-000084000000}"/>
    <cellStyle name="Normal 7 3" xfId="136" xr:uid="{00000000-0005-0000-0000-000085000000}"/>
    <cellStyle name="Normal 7 3 2" xfId="137" xr:uid="{00000000-0005-0000-0000-000086000000}"/>
    <cellStyle name="Normal 7 3 2 2" xfId="138" xr:uid="{00000000-0005-0000-0000-000087000000}"/>
    <cellStyle name="Normal 7 3 3" xfId="139" xr:uid="{00000000-0005-0000-0000-000088000000}"/>
    <cellStyle name="Normal 7 4" xfId="140" xr:uid="{00000000-0005-0000-0000-000089000000}"/>
    <cellStyle name="Normal 7 4 2" xfId="141" xr:uid="{00000000-0005-0000-0000-00008A000000}"/>
    <cellStyle name="Normal 7 4 2 2" xfId="142" xr:uid="{00000000-0005-0000-0000-00008B000000}"/>
    <cellStyle name="Normal 7 4 3" xfId="143" xr:uid="{00000000-0005-0000-0000-00008C000000}"/>
    <cellStyle name="Normal 7 5" xfId="144" xr:uid="{00000000-0005-0000-0000-00008D000000}"/>
    <cellStyle name="Normal 7 5 2" xfId="145" xr:uid="{00000000-0005-0000-0000-00008E000000}"/>
    <cellStyle name="Normal 7 6" xfId="146" xr:uid="{00000000-0005-0000-0000-00008F000000}"/>
    <cellStyle name="Normal 8" xfId="147" xr:uid="{00000000-0005-0000-0000-000090000000}"/>
    <cellStyle name="Normal 9" xfId="148" xr:uid="{00000000-0005-0000-0000-000091000000}"/>
    <cellStyle name="Normal 9 2" xfId="149" xr:uid="{00000000-0005-0000-0000-000092000000}"/>
    <cellStyle name="Normal 9 2 2" xfId="150" xr:uid="{00000000-0005-0000-0000-000093000000}"/>
    <cellStyle name="Normal 9 3" xfId="151" xr:uid="{00000000-0005-0000-0000-000094000000}"/>
    <cellStyle name="NotA" xfId="152" xr:uid="{00000000-0005-0000-0000-000095000000}"/>
    <cellStyle name="Note 2" xfId="153" xr:uid="{00000000-0005-0000-0000-000096000000}"/>
    <cellStyle name="Percent 2" xfId="154" xr:uid="{00000000-0005-0000-0000-000097000000}"/>
    <cellStyle name="T1" xfId="155" xr:uid="{00000000-0005-0000-0000-000098000000}"/>
    <cellStyle name="T1 2" xfId="156" xr:uid="{00000000-0005-0000-0000-000099000000}"/>
    <cellStyle name="T1 2 2" xfId="157" xr:uid="{00000000-0005-0000-0000-00009A000000}"/>
    <cellStyle name="T2" xfId="158" xr:uid="{00000000-0005-0000-0000-00009B000000}"/>
    <cellStyle name="T2 2" xfId="159" xr:uid="{00000000-0005-0000-0000-00009C000000}"/>
    <cellStyle name="T2 2 2" xfId="160" xr:uid="{00000000-0005-0000-0000-00009D000000}"/>
    <cellStyle name="T2 2 2 2" xfId="161" xr:uid="{00000000-0005-0000-0000-00009E000000}"/>
    <cellStyle name="T2 2 3" xfId="162" xr:uid="{00000000-0005-0000-0000-00009F000000}"/>
    <cellStyle name="T2 3" xfId="163" xr:uid="{00000000-0005-0000-0000-0000A0000000}"/>
    <cellStyle name="T2 3 2" xfId="164" xr:uid="{00000000-0005-0000-0000-0000A1000000}"/>
    <cellStyle name="T2 4" xfId="165" xr:uid="{00000000-0005-0000-0000-0000A2000000}"/>
    <cellStyle name="Total 2" xfId="166" xr:uid="{00000000-0005-0000-0000-0000A3000000}"/>
    <cellStyle name="Total1" xfId="167" xr:uid="{00000000-0005-0000-0000-0000A4000000}"/>
    <cellStyle name="Total1 2" xfId="168" xr:uid="{00000000-0005-0000-0000-0000A5000000}"/>
    <cellStyle name="TXT1" xfId="169" xr:uid="{00000000-0005-0000-0000-0000A6000000}"/>
    <cellStyle name="TXT1 2" xfId="170" xr:uid="{00000000-0005-0000-0000-0000A7000000}"/>
    <cellStyle name="TXT1 2 2" xfId="171" xr:uid="{00000000-0005-0000-0000-0000A8000000}"/>
    <cellStyle name="TXT1 3" xfId="172" xr:uid="{00000000-0005-0000-0000-0000A9000000}"/>
    <cellStyle name="TXT1_ATT50328" xfId="173" xr:uid="{00000000-0005-0000-0000-0000AA000000}"/>
    <cellStyle name="TXT1_فصل ذوي الإعاقة- 2009" xfId="9" xr:uid="{00000000-0005-0000-0000-0000AB000000}"/>
    <cellStyle name="TXT2" xfId="8" xr:uid="{00000000-0005-0000-0000-0000AC000000}"/>
    <cellStyle name="TXT2 2" xfId="174" xr:uid="{00000000-0005-0000-0000-0000AD000000}"/>
    <cellStyle name="TXT3" xfId="10" xr:uid="{00000000-0005-0000-0000-0000AE000000}"/>
    <cellStyle name="TXT3 2" xfId="175" xr:uid="{00000000-0005-0000-0000-0000AF000000}"/>
    <cellStyle name="TXT4" xfId="176" xr:uid="{00000000-0005-0000-0000-0000B0000000}"/>
    <cellStyle name="TXT5" xfId="177" xr:uid="{00000000-0005-0000-0000-0000B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603302</xdr:colOff>
      <xdr:row>2</xdr:row>
      <xdr:rowOff>597169</xdr:rowOff>
    </xdr:from>
    <xdr:to>
      <xdr:col>2</xdr:col>
      <xdr:colOff>1178032</xdr:colOff>
      <xdr:row>2</xdr:row>
      <xdr:rowOff>1053077</xdr:rowOff>
    </xdr:to>
    <xdr:pic>
      <xdr:nvPicPr>
        <xdr:cNvPr id="3" name="Picture 2" descr="A black background with a red and white object&#10;&#10;Description automatically generated with medium confidence">
          <a:extLst>
            <a:ext uri="{FF2B5EF4-FFF2-40B4-BE49-F238E27FC236}">
              <a16:creationId xmlns:a16="http://schemas.microsoft.com/office/drawing/2014/main" id="{394C6B3A-6ADC-4CAD-8A98-02794E620869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48" r="1"/>
        <a:stretch/>
      </xdr:blipFill>
      <xdr:spPr bwMode="auto">
        <a:xfrm>
          <a:off x="8738838143" y="1035319"/>
          <a:ext cx="1727255" cy="45590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200025</xdr:colOff>
      <xdr:row>0</xdr:row>
      <xdr:rowOff>0</xdr:rowOff>
    </xdr:from>
    <xdr:to>
      <xdr:col>11</xdr:col>
      <xdr:colOff>1724025</xdr:colOff>
      <xdr:row>2</xdr:row>
      <xdr:rowOff>0</xdr:rowOff>
    </xdr:to>
    <xdr:pic>
      <xdr:nvPicPr>
        <xdr:cNvPr id="5" name="Picture 4" descr="A black background with a red and white object&#10;&#10;Description automatically generated with medium confidence">
          <a:extLst>
            <a:ext uri="{FF2B5EF4-FFF2-40B4-BE49-F238E27FC236}">
              <a16:creationId xmlns:a16="http://schemas.microsoft.com/office/drawing/2014/main" id="{F50DAC50-FB17-4494-90B2-4B39D95DB01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48" r="1"/>
        <a:stretch/>
      </xdr:blipFill>
      <xdr:spPr bwMode="auto">
        <a:xfrm>
          <a:off x="9980437875" y="0"/>
          <a:ext cx="2143125" cy="4572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1209675</xdr:colOff>
      <xdr:row>24</xdr:row>
      <xdr:rowOff>0</xdr:rowOff>
    </xdr:from>
    <xdr:ext cx="1800" cy="5792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0636100" y="7267575"/>
          <a:ext cx="1800" cy="579225"/>
        </a:xfrm>
        <a:prstGeom prst="rect">
          <a:avLst/>
        </a:prstGeom>
      </xdr:spPr>
    </xdr:pic>
    <xdr:clientData/>
  </xdr:oneCellAnchor>
  <xdr:twoCellAnchor editAs="oneCell">
    <xdr:from>
      <xdr:col>10</xdr:col>
      <xdr:colOff>304800</xdr:colOff>
      <xdr:row>0</xdr:row>
      <xdr:rowOff>9525</xdr:rowOff>
    </xdr:from>
    <xdr:to>
      <xdr:col>11</xdr:col>
      <xdr:colOff>1352085</xdr:colOff>
      <xdr:row>2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331CD0-632F-4FFB-A876-7058A3C98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0933640" y="9525"/>
          <a:ext cx="1714035" cy="476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1800" cy="5792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0636100" y="7267575"/>
          <a:ext cx="1800" cy="579225"/>
        </a:xfrm>
        <a:prstGeom prst="rect">
          <a:avLst/>
        </a:prstGeom>
      </xdr:spPr>
    </xdr:pic>
    <xdr:clientData/>
  </xdr:oneCellAnchor>
  <xdr:twoCellAnchor editAs="oneCell">
    <xdr:from>
      <xdr:col>10</xdr:col>
      <xdr:colOff>495300</xdr:colOff>
      <xdr:row>0</xdr:row>
      <xdr:rowOff>28574</xdr:rowOff>
    </xdr:from>
    <xdr:to>
      <xdr:col>12</xdr:col>
      <xdr:colOff>28575</xdr:colOff>
      <xdr:row>2</xdr:row>
      <xdr:rowOff>19049</xdr:rowOff>
    </xdr:to>
    <xdr:pic>
      <xdr:nvPicPr>
        <xdr:cNvPr id="6" name="Picture 5" descr="A black background with a red and white object&#10;&#10;Description automatically generated with medium confidence">
          <a:extLst>
            <a:ext uri="{FF2B5EF4-FFF2-40B4-BE49-F238E27FC236}">
              <a16:creationId xmlns:a16="http://schemas.microsoft.com/office/drawing/2014/main" id="{C036EE26-F1DE-4480-8E5C-902ADDC98DD8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48" r="1"/>
        <a:stretch/>
      </xdr:blipFill>
      <xdr:spPr bwMode="auto">
        <a:xfrm>
          <a:off x="9980342625" y="28574"/>
          <a:ext cx="2143125" cy="4476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sinou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sinou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sinou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rightToLeft="1" zoomScale="150" zoomScaleNormal="150" zoomScaleSheetLayoutView="100" workbookViewId="0">
      <selection activeCell="B12" sqref="B12:C13"/>
    </sheetView>
  </sheetViews>
  <sheetFormatPr baseColWidth="10" defaultColWidth="8" defaultRowHeight="13"/>
  <cols>
    <col min="1" max="1" width="17.1640625" style="40" bestFit="1" customWidth="1"/>
    <col min="2" max="2" width="17.33203125" style="40" customWidth="1"/>
    <col min="3" max="3" width="19.5" style="40" customWidth="1"/>
    <col min="4" max="4" width="24.5" style="40" customWidth="1"/>
    <col min="5" max="16384" width="8" style="40"/>
  </cols>
  <sheetData>
    <row r="1" spans="1:4" ht="17.25" customHeight="1">
      <c r="A1" s="37" t="s">
        <v>70</v>
      </c>
      <c r="B1" s="38"/>
      <c r="C1" s="38"/>
      <c r="D1" s="39" t="s">
        <v>71</v>
      </c>
    </row>
    <row r="2" spans="1:4" ht="17.25" customHeight="1">
      <c r="A2" s="37" t="s">
        <v>72</v>
      </c>
      <c r="B2" s="38"/>
      <c r="C2" s="38"/>
      <c r="D2" s="39" t="s">
        <v>73</v>
      </c>
    </row>
    <row r="3" spans="1:4" ht="99" customHeight="1">
      <c r="A3" s="38"/>
      <c r="B3" s="38"/>
      <c r="C3" s="38"/>
      <c r="D3" s="38"/>
    </row>
    <row r="4" spans="1:4" ht="28.5" customHeight="1">
      <c r="A4" s="78" t="s">
        <v>78</v>
      </c>
      <c r="B4" s="78"/>
      <c r="C4" s="78"/>
      <c r="D4" s="78"/>
    </row>
    <row r="5" spans="1:4" ht="20.25" customHeight="1">
      <c r="A5" s="79" t="s">
        <v>106</v>
      </c>
      <c r="B5" s="79"/>
      <c r="C5" s="79"/>
      <c r="D5" s="79"/>
    </row>
    <row r="6" spans="1:4" ht="17.25" customHeight="1">
      <c r="A6" s="80">
        <v>2024</v>
      </c>
      <c r="B6" s="80"/>
      <c r="C6" s="80"/>
      <c r="D6" s="80"/>
    </row>
    <row r="7" spans="1:4" ht="5.25" customHeight="1">
      <c r="A7" s="41"/>
      <c r="B7" s="41"/>
      <c r="C7" s="41"/>
      <c r="D7" s="41"/>
    </row>
    <row r="8" spans="1:4" ht="11.25" customHeight="1">
      <c r="A8" s="41"/>
      <c r="B8" s="41"/>
      <c r="C8" s="41"/>
      <c r="D8" s="41"/>
    </row>
    <row r="9" spans="1:4" ht="16.5" customHeight="1">
      <c r="A9" s="42" t="s">
        <v>91</v>
      </c>
      <c r="B9" s="83" t="s">
        <v>124</v>
      </c>
      <c r="C9" s="83"/>
      <c r="D9" s="43" t="s">
        <v>77</v>
      </c>
    </row>
    <row r="10" spans="1:4" ht="30" customHeight="1">
      <c r="A10" s="41"/>
      <c r="B10" s="41"/>
      <c r="C10" s="41"/>
      <c r="D10" s="41"/>
    </row>
    <row r="11" spans="1:4" ht="30" customHeight="1">
      <c r="A11" s="44" t="s">
        <v>79</v>
      </c>
      <c r="B11" s="45" t="s">
        <v>126</v>
      </c>
      <c r="C11" s="45"/>
      <c r="D11" s="46" t="s">
        <v>80</v>
      </c>
    </row>
    <row r="12" spans="1:4" ht="30" customHeight="1">
      <c r="A12" s="47" t="s">
        <v>74</v>
      </c>
      <c r="B12" s="81">
        <v>55881352</v>
      </c>
      <c r="C12" s="81"/>
      <c r="D12" s="48" t="s">
        <v>75</v>
      </c>
    </row>
    <row r="13" spans="1:4" ht="30" customHeight="1">
      <c r="A13" s="47" t="s">
        <v>81</v>
      </c>
      <c r="B13" s="82" t="s">
        <v>125</v>
      </c>
      <c r="C13" s="81"/>
      <c r="D13" s="48" t="s">
        <v>76</v>
      </c>
    </row>
    <row r="14" spans="1:4" ht="24" customHeight="1">
      <c r="A14" s="49"/>
      <c r="B14" s="50"/>
      <c r="C14" s="50"/>
      <c r="D14" s="51"/>
    </row>
    <row r="15" spans="1:4" ht="36.75" customHeight="1">
      <c r="A15" s="76" t="s">
        <v>122</v>
      </c>
      <c r="B15" s="76"/>
      <c r="C15" s="77" t="s">
        <v>123</v>
      </c>
      <c r="D15" s="77"/>
    </row>
  </sheetData>
  <mergeCells count="8">
    <mergeCell ref="A15:B15"/>
    <mergeCell ref="C15:D15"/>
    <mergeCell ref="A4:D4"/>
    <mergeCell ref="A5:D5"/>
    <mergeCell ref="A6:D6"/>
    <mergeCell ref="B12:C12"/>
    <mergeCell ref="B13:C13"/>
    <mergeCell ref="B9:C9"/>
  </mergeCells>
  <hyperlinks>
    <hyperlink ref="B13" r:id="rId1" xr:uid="{923B07B3-B761-489D-B8FA-C9F8D8F450A4}"/>
  </hyperlinks>
  <printOptions horizontalCentered="1"/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"/>
  <sheetViews>
    <sheetView rightToLeft="1" topLeftCell="B1" zoomScale="150" zoomScaleNormal="150" zoomScaleSheetLayoutView="100" workbookViewId="0">
      <pane xSplit="1" ySplit="8" topLeftCell="C19" activePane="bottomRight" state="frozen"/>
      <selection activeCell="B1" sqref="B1"/>
      <selection pane="topRight" activeCell="C1" sqref="C1"/>
      <selection pane="bottomLeft" activeCell="B9" sqref="B9"/>
      <selection pane="bottomRight" activeCell="B18" sqref="A18:XFD18"/>
    </sheetView>
  </sheetViews>
  <sheetFormatPr baseColWidth="10" defaultColWidth="8.83203125" defaultRowHeight="15"/>
  <cols>
    <col min="1" max="1" width="6.6640625" hidden="1" customWidth="1"/>
    <col min="2" max="2" width="23.83203125" customWidth="1"/>
    <col min="3" max="3" width="7.83203125" customWidth="1"/>
    <col min="5" max="6" width="8.5" customWidth="1"/>
    <col min="7" max="7" width="7.83203125" customWidth="1"/>
    <col min="9" max="9" width="8.33203125" customWidth="1"/>
    <col min="10" max="10" width="7.83203125" customWidth="1"/>
    <col min="11" max="11" width="9.33203125" customWidth="1"/>
    <col min="12" max="12" width="26.83203125" customWidth="1"/>
  </cols>
  <sheetData>
    <row r="1" spans="1:25" ht="18" customHeight="1">
      <c r="A1" s="87" t="s">
        <v>64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25" ht="18" customHeight="1">
      <c r="A2" s="23"/>
      <c r="B2" s="95">
        <v>2024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25" ht="18" customHeight="1">
      <c r="A3" s="88" t="s">
        <v>96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25" ht="18" customHeight="1">
      <c r="A4" s="24"/>
      <c r="B4" s="96">
        <v>2024</v>
      </c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1:25" ht="38.25" customHeight="1">
      <c r="B5" s="25" t="s">
        <v>49</v>
      </c>
      <c r="C5" s="94"/>
      <c r="D5" s="94"/>
      <c r="E5" s="94"/>
      <c r="F5" s="94"/>
      <c r="G5" s="94"/>
      <c r="H5" s="94"/>
      <c r="I5" s="94"/>
      <c r="J5" s="94"/>
      <c r="K5" s="94"/>
      <c r="L5" s="26" t="s">
        <v>50</v>
      </c>
      <c r="O5" s="27"/>
      <c r="P5" s="28"/>
      <c r="Q5" s="28"/>
      <c r="R5" s="28"/>
      <c r="S5" s="28"/>
      <c r="T5" s="28"/>
      <c r="U5" s="28"/>
      <c r="V5" s="28"/>
      <c r="W5" s="28"/>
      <c r="X5" s="28"/>
      <c r="Y5" s="29"/>
    </row>
    <row r="6" spans="1:25" ht="20.25" customHeight="1">
      <c r="B6" s="89" t="s">
        <v>19</v>
      </c>
      <c r="C6" s="90" t="s">
        <v>62</v>
      </c>
      <c r="D6" s="90"/>
      <c r="E6" s="90"/>
      <c r="F6" s="90"/>
      <c r="G6" s="90"/>
      <c r="H6" s="90"/>
      <c r="I6" s="90"/>
      <c r="J6" s="90"/>
      <c r="K6" s="90"/>
      <c r="L6" s="91" t="s">
        <v>56</v>
      </c>
    </row>
    <row r="7" spans="1:25" ht="20.25" customHeight="1">
      <c r="B7" s="89"/>
      <c r="C7" s="92" t="s">
        <v>57</v>
      </c>
      <c r="D7" s="92"/>
      <c r="E7" s="92"/>
      <c r="F7" s="92" t="s">
        <v>63</v>
      </c>
      <c r="G7" s="92"/>
      <c r="H7" s="92"/>
      <c r="I7" s="93" t="s">
        <v>2</v>
      </c>
      <c r="J7" s="93"/>
      <c r="K7" s="93"/>
      <c r="L7" s="91"/>
    </row>
    <row r="8" spans="1:25" ht="26.25" customHeight="1">
      <c r="B8" s="89"/>
      <c r="C8" s="52" t="s">
        <v>60</v>
      </c>
      <c r="D8" s="52" t="s">
        <v>59</v>
      </c>
      <c r="E8" s="52" t="s">
        <v>58</v>
      </c>
      <c r="F8" s="52" t="s">
        <v>61</v>
      </c>
      <c r="G8" s="52" t="s">
        <v>59</v>
      </c>
      <c r="H8" s="52" t="s">
        <v>58</v>
      </c>
      <c r="I8" s="52" t="s">
        <v>60</v>
      </c>
      <c r="J8" s="52" t="s">
        <v>59</v>
      </c>
      <c r="K8" s="52" t="s">
        <v>58</v>
      </c>
      <c r="L8" s="91"/>
    </row>
    <row r="9" spans="1:25" ht="30.75" customHeight="1">
      <c r="B9" s="30" t="s">
        <v>107</v>
      </c>
      <c r="C9" s="21">
        <v>24</v>
      </c>
      <c r="D9" s="21">
        <v>8</v>
      </c>
      <c r="E9" s="20">
        <f>SUM(C9:D9)</f>
        <v>32</v>
      </c>
      <c r="F9" s="21">
        <v>21</v>
      </c>
      <c r="G9" s="21">
        <v>12</v>
      </c>
      <c r="H9" s="20">
        <f t="shared" ref="H9:H18" si="0">SUM(F9:G9)</f>
        <v>33</v>
      </c>
      <c r="I9" s="20">
        <f>C9+F9</f>
        <v>45</v>
      </c>
      <c r="J9" s="20">
        <f>D9+G9</f>
        <v>20</v>
      </c>
      <c r="K9" s="20">
        <f t="shared" ref="K9:K18" si="1">SUM(I9:J9)</f>
        <v>65</v>
      </c>
      <c r="L9" s="32" t="s">
        <v>20</v>
      </c>
    </row>
    <row r="10" spans="1:25" ht="30.75" customHeight="1">
      <c r="B10" s="30" t="s">
        <v>109</v>
      </c>
      <c r="C10" s="21">
        <v>17</v>
      </c>
      <c r="D10" s="21">
        <v>11</v>
      </c>
      <c r="E10" s="20">
        <f t="shared" ref="E10:E18" si="2">SUM(C10:D10)</f>
        <v>28</v>
      </c>
      <c r="F10" s="21">
        <v>12</v>
      </c>
      <c r="G10" s="21">
        <v>1</v>
      </c>
      <c r="H10" s="20">
        <f t="shared" si="0"/>
        <v>13</v>
      </c>
      <c r="I10" s="20">
        <f t="shared" ref="I10:I18" si="3">C10+F10</f>
        <v>29</v>
      </c>
      <c r="J10" s="20">
        <f t="shared" ref="J10:J18" si="4">D10+G10</f>
        <v>12</v>
      </c>
      <c r="K10" s="20">
        <f t="shared" si="1"/>
        <v>41</v>
      </c>
      <c r="L10" s="32" t="s">
        <v>21</v>
      </c>
    </row>
    <row r="11" spans="1:25" ht="30.75" customHeight="1">
      <c r="B11" s="30" t="s">
        <v>108</v>
      </c>
      <c r="C11" s="21">
        <v>15</v>
      </c>
      <c r="D11" s="21">
        <v>0</v>
      </c>
      <c r="E11" s="20">
        <f t="shared" si="2"/>
        <v>15</v>
      </c>
      <c r="F11" s="21">
        <v>10</v>
      </c>
      <c r="G11" s="21">
        <v>0</v>
      </c>
      <c r="H11" s="20">
        <f t="shared" si="0"/>
        <v>10</v>
      </c>
      <c r="I11" s="20">
        <f t="shared" si="3"/>
        <v>25</v>
      </c>
      <c r="J11" s="20">
        <f t="shared" si="4"/>
        <v>0</v>
      </c>
      <c r="K11" s="20">
        <f t="shared" si="1"/>
        <v>25</v>
      </c>
      <c r="L11" s="32" t="s">
        <v>22</v>
      </c>
    </row>
    <row r="12" spans="1:25" ht="30.75" customHeight="1">
      <c r="B12" s="30" t="s">
        <v>110</v>
      </c>
      <c r="C12" s="21">
        <v>0</v>
      </c>
      <c r="D12" s="21">
        <v>0</v>
      </c>
      <c r="E12" s="20">
        <f t="shared" si="2"/>
        <v>0</v>
      </c>
      <c r="F12" s="21">
        <v>0</v>
      </c>
      <c r="G12" s="21">
        <v>0</v>
      </c>
      <c r="H12" s="20">
        <f t="shared" si="0"/>
        <v>0</v>
      </c>
      <c r="I12" s="20">
        <f t="shared" si="3"/>
        <v>0</v>
      </c>
      <c r="J12" s="20">
        <f t="shared" si="4"/>
        <v>0</v>
      </c>
      <c r="K12" s="20">
        <f t="shared" si="1"/>
        <v>0</v>
      </c>
      <c r="L12" s="32" t="s">
        <v>23</v>
      </c>
    </row>
    <row r="13" spans="1:25" ht="30.75" customHeight="1">
      <c r="B13" s="30" t="s">
        <v>82</v>
      </c>
      <c r="C13" s="21">
        <v>0</v>
      </c>
      <c r="D13" s="21">
        <v>0</v>
      </c>
      <c r="E13" s="20">
        <f t="shared" si="2"/>
        <v>0</v>
      </c>
      <c r="F13" s="21">
        <v>0</v>
      </c>
      <c r="G13" s="21">
        <v>0</v>
      </c>
      <c r="H13" s="20">
        <f t="shared" si="0"/>
        <v>0</v>
      </c>
      <c r="I13" s="20">
        <f t="shared" si="3"/>
        <v>0</v>
      </c>
      <c r="J13" s="20">
        <f t="shared" si="4"/>
        <v>0</v>
      </c>
      <c r="K13" s="20">
        <f t="shared" si="1"/>
        <v>0</v>
      </c>
      <c r="L13" s="32" t="s">
        <v>55</v>
      </c>
    </row>
    <row r="14" spans="1:25" ht="30.75" customHeight="1">
      <c r="B14" s="30" t="s">
        <v>111</v>
      </c>
      <c r="C14" s="21">
        <v>0</v>
      </c>
      <c r="D14" s="21">
        <v>0</v>
      </c>
      <c r="E14" s="20">
        <f t="shared" si="2"/>
        <v>0</v>
      </c>
      <c r="F14" s="21">
        <v>0</v>
      </c>
      <c r="G14" s="21">
        <v>0</v>
      </c>
      <c r="H14" s="20">
        <f t="shared" si="0"/>
        <v>0</v>
      </c>
      <c r="I14" s="20">
        <f t="shared" si="3"/>
        <v>0</v>
      </c>
      <c r="J14" s="20">
        <f t="shared" si="4"/>
        <v>0</v>
      </c>
      <c r="K14" s="20">
        <f t="shared" si="1"/>
        <v>0</v>
      </c>
      <c r="L14" s="32" t="s">
        <v>92</v>
      </c>
    </row>
    <row r="15" spans="1:25" ht="30.75" customHeight="1">
      <c r="B15" s="30" t="s">
        <v>112</v>
      </c>
      <c r="C15" s="21">
        <v>1</v>
      </c>
      <c r="D15" s="21">
        <v>0</v>
      </c>
      <c r="E15" s="20">
        <f t="shared" si="2"/>
        <v>1</v>
      </c>
      <c r="F15" s="21">
        <v>4</v>
      </c>
      <c r="G15" s="21">
        <v>0</v>
      </c>
      <c r="H15" s="20">
        <f t="shared" si="0"/>
        <v>4</v>
      </c>
      <c r="I15" s="20">
        <f t="shared" si="3"/>
        <v>5</v>
      </c>
      <c r="J15" s="20">
        <f t="shared" si="4"/>
        <v>0</v>
      </c>
      <c r="K15" s="20">
        <f t="shared" si="1"/>
        <v>5</v>
      </c>
      <c r="L15" s="32" t="s">
        <v>24</v>
      </c>
    </row>
    <row r="16" spans="1:25" ht="30.75" customHeight="1">
      <c r="B16" s="30" t="s">
        <v>113</v>
      </c>
      <c r="C16" s="21">
        <v>0</v>
      </c>
      <c r="D16" s="21">
        <v>0</v>
      </c>
      <c r="E16" s="20">
        <f t="shared" si="2"/>
        <v>0</v>
      </c>
      <c r="F16" s="21">
        <v>0</v>
      </c>
      <c r="G16" s="21">
        <v>0</v>
      </c>
      <c r="H16" s="20">
        <f t="shared" si="0"/>
        <v>0</v>
      </c>
      <c r="I16" s="20">
        <f t="shared" si="3"/>
        <v>0</v>
      </c>
      <c r="J16" s="20">
        <f t="shared" si="4"/>
        <v>0</v>
      </c>
      <c r="K16" s="20">
        <f t="shared" si="1"/>
        <v>0</v>
      </c>
      <c r="L16" s="32" t="s">
        <v>25</v>
      </c>
    </row>
    <row r="17" spans="2:12" ht="30.75" customHeight="1">
      <c r="B17" s="30" t="s">
        <v>26</v>
      </c>
      <c r="C17" s="21">
        <v>2</v>
      </c>
      <c r="D17" s="21">
        <v>2</v>
      </c>
      <c r="E17" s="20">
        <f t="shared" si="2"/>
        <v>4</v>
      </c>
      <c r="F17" s="21">
        <v>4</v>
      </c>
      <c r="G17" s="21">
        <v>3</v>
      </c>
      <c r="H17" s="20">
        <f t="shared" si="0"/>
        <v>7</v>
      </c>
      <c r="I17" s="20">
        <f t="shared" si="3"/>
        <v>6</v>
      </c>
      <c r="J17" s="20">
        <f t="shared" si="4"/>
        <v>5</v>
      </c>
      <c r="K17" s="20">
        <f t="shared" si="1"/>
        <v>11</v>
      </c>
      <c r="L17" s="32" t="s">
        <v>27</v>
      </c>
    </row>
    <row r="18" spans="2:12" ht="26.25" customHeight="1">
      <c r="B18" s="30" t="s">
        <v>114</v>
      </c>
      <c r="C18" s="21">
        <v>4</v>
      </c>
      <c r="D18" s="21">
        <v>0</v>
      </c>
      <c r="E18" s="20">
        <f t="shared" si="2"/>
        <v>4</v>
      </c>
      <c r="F18" s="21">
        <v>3</v>
      </c>
      <c r="G18" s="21">
        <v>0</v>
      </c>
      <c r="H18" s="20">
        <f t="shared" si="0"/>
        <v>3</v>
      </c>
      <c r="I18" s="20">
        <f t="shared" si="3"/>
        <v>7</v>
      </c>
      <c r="J18" s="20">
        <f t="shared" si="4"/>
        <v>0</v>
      </c>
      <c r="K18" s="20">
        <f t="shared" si="1"/>
        <v>7</v>
      </c>
      <c r="L18" s="32" t="s">
        <v>28</v>
      </c>
    </row>
    <row r="19" spans="2:12" ht="26.25" customHeight="1" thickBot="1">
      <c r="B19" s="31" t="s">
        <v>115</v>
      </c>
      <c r="C19" s="74"/>
      <c r="D19" s="74"/>
      <c r="E19" s="20"/>
      <c r="F19" s="74"/>
      <c r="G19" s="74"/>
      <c r="H19" s="20"/>
      <c r="I19" s="20"/>
      <c r="J19" s="20"/>
      <c r="K19" s="20"/>
      <c r="L19" s="33" t="s">
        <v>29</v>
      </c>
    </row>
    <row r="20" spans="2:12" ht="27.75" customHeight="1">
      <c r="B20" s="53" t="s">
        <v>17</v>
      </c>
      <c r="C20" s="75">
        <f>SUM(C9:C19)</f>
        <v>63</v>
      </c>
      <c r="D20" s="75">
        <f t="shared" ref="D20:K20" si="5">SUM(D9:D19)</f>
        <v>21</v>
      </c>
      <c r="E20" s="75">
        <f t="shared" si="5"/>
        <v>84</v>
      </c>
      <c r="F20" s="75">
        <f t="shared" si="5"/>
        <v>54</v>
      </c>
      <c r="G20" s="75">
        <f t="shared" si="5"/>
        <v>16</v>
      </c>
      <c r="H20" s="75">
        <f t="shared" si="5"/>
        <v>70</v>
      </c>
      <c r="I20" s="75">
        <f t="shared" si="5"/>
        <v>117</v>
      </c>
      <c r="J20" s="75">
        <f t="shared" si="5"/>
        <v>37</v>
      </c>
      <c r="K20" s="75">
        <f t="shared" si="5"/>
        <v>154</v>
      </c>
      <c r="L20" s="54" t="s">
        <v>30</v>
      </c>
    </row>
    <row r="21" spans="2:12" s="62" customFormat="1" ht="15" customHeight="1">
      <c r="B21" s="63" t="s">
        <v>116</v>
      </c>
      <c r="C21" s="84" t="s">
        <v>126</v>
      </c>
      <c r="D21" s="84"/>
      <c r="E21" s="84"/>
      <c r="F21" s="84"/>
      <c r="G21" s="84"/>
      <c r="H21" s="84"/>
      <c r="I21" s="84"/>
      <c r="J21" s="84"/>
      <c r="K21" s="84"/>
      <c r="L21" s="64" t="s">
        <v>117</v>
      </c>
    </row>
    <row r="22" spans="2:12" ht="15.75" customHeight="1">
      <c r="B22" s="65" t="s">
        <v>121</v>
      </c>
      <c r="C22" s="84">
        <v>55881352</v>
      </c>
      <c r="D22" s="84"/>
      <c r="E22" s="84"/>
      <c r="F22" s="84"/>
      <c r="G22" s="84"/>
      <c r="H22" s="84"/>
      <c r="I22" s="84"/>
      <c r="J22" s="84"/>
      <c r="K22" s="84"/>
      <c r="L22" s="64" t="s">
        <v>118</v>
      </c>
    </row>
    <row r="23" spans="2:12" ht="17">
      <c r="B23" s="63" t="s">
        <v>119</v>
      </c>
      <c r="C23" s="85" t="s">
        <v>125</v>
      </c>
      <c r="D23" s="86"/>
      <c r="E23" s="86"/>
      <c r="F23" s="86"/>
      <c r="G23" s="86"/>
      <c r="H23" s="86"/>
      <c r="I23" s="86"/>
      <c r="J23" s="86"/>
      <c r="K23" s="86"/>
      <c r="L23" s="64" t="s">
        <v>120</v>
      </c>
    </row>
  </sheetData>
  <mergeCells count="14">
    <mergeCell ref="C21:K21"/>
    <mergeCell ref="C22:K22"/>
    <mergeCell ref="C23:K23"/>
    <mergeCell ref="A1:L1"/>
    <mergeCell ref="A3:L3"/>
    <mergeCell ref="B6:B8"/>
    <mergeCell ref="C6:K6"/>
    <mergeCell ref="L6:L8"/>
    <mergeCell ref="C7:E7"/>
    <mergeCell ref="F7:H7"/>
    <mergeCell ref="I7:K7"/>
    <mergeCell ref="C5:K5"/>
    <mergeCell ref="B2:L2"/>
    <mergeCell ref="B4:L4"/>
  </mergeCells>
  <hyperlinks>
    <hyperlink ref="C23" r:id="rId1" xr:uid="{CAAE2775-42E5-BA48-9901-F227F7215C28}"/>
  </hyperlinks>
  <printOptions horizontalCentered="1" verticalCentered="1"/>
  <pageMargins left="0.19685039370078741" right="0.19685039370078741" top="0.39370078740157483" bottom="0.74803149606299213" header="0.31496062992125984" footer="0.31496062992125984"/>
  <pageSetup scale="90" orientation="landscape" horizontalDpi="4294967295" verticalDpi="4294967295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41"/>
  <sheetViews>
    <sheetView rightToLeft="1" tabSelected="1" topLeftCell="B1" zoomScale="150" zoomScaleNormal="150" zoomScaleSheetLayoutView="100" workbookViewId="0">
      <selection activeCell="C22" sqref="C22"/>
    </sheetView>
  </sheetViews>
  <sheetFormatPr baseColWidth="10" defaultColWidth="9.1640625" defaultRowHeight="20" customHeight="1"/>
  <cols>
    <col min="1" max="1" width="0.1640625" style="13" hidden="1" customWidth="1"/>
    <col min="2" max="2" width="16.5" style="13" customWidth="1"/>
    <col min="3" max="3" width="7.83203125" style="11" customWidth="1"/>
    <col min="4" max="9" width="7.83203125" style="13" customWidth="1"/>
    <col min="10" max="10" width="8.33203125" style="13" customWidth="1"/>
    <col min="11" max="11" width="10" style="13" customWidth="1"/>
    <col min="12" max="12" width="20.5" style="13" customWidth="1"/>
    <col min="13" max="14" width="6.6640625" style="13" customWidth="1"/>
    <col min="15" max="15" width="3.5" style="13" customWidth="1"/>
    <col min="16" max="16" width="10.5" style="13" customWidth="1"/>
    <col min="17" max="17" width="9.83203125" style="13" bestFit="1" customWidth="1"/>
    <col min="18" max="18" width="25.6640625" style="13" customWidth="1"/>
    <col min="19" max="16384" width="9.1640625" style="13"/>
  </cols>
  <sheetData>
    <row r="1" spans="1:58" s="2" customFormat="1" ht="18" customHeight="1">
      <c r="B1" s="87" t="s">
        <v>83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1"/>
      <c r="N1" s="1"/>
      <c r="O1" s="1"/>
      <c r="P1" s="1"/>
      <c r="Q1" s="1"/>
      <c r="R1" s="1"/>
    </row>
    <row r="2" spans="1:58" s="2" customFormat="1" ht="18" customHeight="1">
      <c r="B2" s="95">
        <v>2024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1"/>
      <c r="N2" s="1"/>
      <c r="O2" s="1"/>
      <c r="P2" s="1"/>
      <c r="Q2" s="1"/>
      <c r="R2" s="1"/>
    </row>
    <row r="3" spans="1:58" s="2" customFormat="1" ht="18" customHeight="1">
      <c r="B3" s="98" t="s">
        <v>95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3"/>
      <c r="N3" s="3"/>
      <c r="O3" s="3"/>
      <c r="P3" s="3"/>
      <c r="Q3" s="3"/>
      <c r="R3" s="3"/>
    </row>
    <row r="4" spans="1:58" s="2" customFormat="1" ht="18" customHeight="1">
      <c r="B4" s="100">
        <v>2024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3"/>
      <c r="N4" s="3"/>
      <c r="O4" s="3"/>
      <c r="P4" s="3"/>
      <c r="Q4" s="3"/>
      <c r="R4" s="3"/>
    </row>
    <row r="5" spans="1:58" s="4" customFormat="1" ht="27" customHeight="1">
      <c r="B5" s="25" t="s">
        <v>51</v>
      </c>
      <c r="C5" s="94"/>
      <c r="D5" s="94"/>
      <c r="E5" s="94"/>
      <c r="F5" s="94"/>
      <c r="G5" s="94"/>
      <c r="H5" s="94"/>
      <c r="I5" s="94"/>
      <c r="J5" s="94"/>
      <c r="K5" s="94"/>
      <c r="L5" s="26" t="s">
        <v>53</v>
      </c>
    </row>
    <row r="6" spans="1:58" s="5" customFormat="1" ht="16">
      <c r="B6" s="89" t="s">
        <v>0</v>
      </c>
      <c r="C6" s="90" t="s">
        <v>65</v>
      </c>
      <c r="D6" s="90"/>
      <c r="E6" s="90"/>
      <c r="F6" s="90"/>
      <c r="G6" s="90"/>
      <c r="H6" s="90"/>
      <c r="I6" s="90"/>
      <c r="J6" s="90"/>
      <c r="K6" s="90"/>
      <c r="L6" s="91" t="s">
        <v>85</v>
      </c>
      <c r="M6" s="16"/>
    </row>
    <row r="7" spans="1:58" s="7" customFormat="1" ht="18.75" customHeight="1">
      <c r="A7" s="22"/>
      <c r="B7" s="89"/>
      <c r="C7" s="99" t="s">
        <v>66</v>
      </c>
      <c r="D7" s="99"/>
      <c r="E7" s="99"/>
      <c r="F7" s="99" t="s">
        <v>67</v>
      </c>
      <c r="G7" s="99"/>
      <c r="H7" s="99"/>
      <c r="I7" s="97" t="s">
        <v>68</v>
      </c>
      <c r="J7" s="97"/>
      <c r="K7" s="97"/>
      <c r="L7" s="91"/>
      <c r="M7" s="1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</row>
    <row r="8" spans="1:58" s="8" customFormat="1" ht="26.25" customHeight="1">
      <c r="B8" s="89"/>
      <c r="C8" s="52" t="s">
        <v>60</v>
      </c>
      <c r="D8" s="52" t="s">
        <v>59</v>
      </c>
      <c r="E8" s="52" t="s">
        <v>58</v>
      </c>
      <c r="F8" s="52" t="s">
        <v>61</v>
      </c>
      <c r="G8" s="52" t="s">
        <v>59</v>
      </c>
      <c r="H8" s="52" t="s">
        <v>58</v>
      </c>
      <c r="I8" s="52" t="s">
        <v>60</v>
      </c>
      <c r="J8" s="52" t="s">
        <v>59</v>
      </c>
      <c r="K8" s="52" t="s">
        <v>58</v>
      </c>
      <c r="L8" s="91"/>
      <c r="M8" s="18"/>
      <c r="N8" s="9"/>
      <c r="P8" s="9"/>
    </row>
    <row r="9" spans="1:58" s="12" customFormat="1" ht="23" customHeight="1">
      <c r="A9" s="11"/>
      <c r="B9" s="30" t="s">
        <v>3</v>
      </c>
      <c r="C9" s="14">
        <v>0</v>
      </c>
      <c r="D9" s="14">
        <v>0</v>
      </c>
      <c r="E9" s="15">
        <f>C9+D9</f>
        <v>0</v>
      </c>
      <c r="F9" s="14"/>
      <c r="G9" s="14"/>
      <c r="H9" s="15">
        <f>F9+G9</f>
        <v>0</v>
      </c>
      <c r="I9" s="15">
        <f>C9+F9</f>
        <v>0</v>
      </c>
      <c r="J9" s="15">
        <f>D9+G9</f>
        <v>0</v>
      </c>
      <c r="K9" s="15">
        <f>I9+J9</f>
        <v>0</v>
      </c>
      <c r="L9" s="32" t="s">
        <v>4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</row>
    <row r="10" spans="1:58" s="12" customFormat="1" ht="23" customHeight="1">
      <c r="A10" s="11"/>
      <c r="B10" s="30" t="s">
        <v>5</v>
      </c>
      <c r="C10" s="14">
        <v>0</v>
      </c>
      <c r="D10" s="14">
        <v>0</v>
      </c>
      <c r="E10" s="15">
        <f t="shared" ref="E10:E17" si="0">C10+D10</f>
        <v>0</v>
      </c>
      <c r="F10" s="14"/>
      <c r="G10" s="14"/>
      <c r="H10" s="15">
        <f t="shared" ref="H10:H17" si="1">F10+G10</f>
        <v>0</v>
      </c>
      <c r="I10" s="15">
        <f t="shared" ref="I10:J17" si="2">C10+F10</f>
        <v>0</v>
      </c>
      <c r="J10" s="15">
        <f t="shared" si="2"/>
        <v>0</v>
      </c>
      <c r="K10" s="15">
        <f t="shared" ref="K10:K17" si="3">I10+J10</f>
        <v>0</v>
      </c>
      <c r="L10" s="32" t="s">
        <v>5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 spans="1:58" s="12" customFormat="1" ht="23" customHeight="1">
      <c r="A11" s="11"/>
      <c r="B11" s="30" t="s">
        <v>6</v>
      </c>
      <c r="C11" s="14">
        <v>1</v>
      </c>
      <c r="D11" s="14">
        <v>4</v>
      </c>
      <c r="E11" s="15">
        <f t="shared" si="0"/>
        <v>5</v>
      </c>
      <c r="F11" s="14">
        <v>5</v>
      </c>
      <c r="G11" s="14">
        <v>3</v>
      </c>
      <c r="H11" s="15">
        <f t="shared" si="1"/>
        <v>8</v>
      </c>
      <c r="I11" s="15">
        <f t="shared" si="2"/>
        <v>6</v>
      </c>
      <c r="J11" s="15">
        <f t="shared" si="2"/>
        <v>7</v>
      </c>
      <c r="K11" s="15">
        <f t="shared" si="3"/>
        <v>13</v>
      </c>
      <c r="L11" s="32" t="s">
        <v>6</v>
      </c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 spans="1:58" s="12" customFormat="1" ht="23" customHeight="1">
      <c r="A12" s="11"/>
      <c r="B12" s="30" t="s">
        <v>7</v>
      </c>
      <c r="C12" s="14">
        <v>6</v>
      </c>
      <c r="D12" s="14">
        <v>5</v>
      </c>
      <c r="E12" s="15">
        <f t="shared" si="0"/>
        <v>11</v>
      </c>
      <c r="F12" s="14">
        <v>11</v>
      </c>
      <c r="G12" s="14">
        <v>9</v>
      </c>
      <c r="H12" s="15">
        <f t="shared" si="1"/>
        <v>20</v>
      </c>
      <c r="I12" s="15">
        <f t="shared" si="2"/>
        <v>17</v>
      </c>
      <c r="J12" s="15">
        <f t="shared" si="2"/>
        <v>14</v>
      </c>
      <c r="K12" s="15">
        <f t="shared" si="3"/>
        <v>31</v>
      </c>
      <c r="L12" s="32" t="s">
        <v>7</v>
      </c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</row>
    <row r="13" spans="1:58" s="12" customFormat="1" ht="23" customHeight="1">
      <c r="A13" s="11"/>
      <c r="B13" s="30" t="s">
        <v>8</v>
      </c>
      <c r="C13" s="14">
        <v>7</v>
      </c>
      <c r="D13" s="14">
        <v>5</v>
      </c>
      <c r="E13" s="15">
        <f t="shared" si="0"/>
        <v>12</v>
      </c>
      <c r="F13" s="14">
        <v>15</v>
      </c>
      <c r="G13" s="14">
        <v>4</v>
      </c>
      <c r="H13" s="15">
        <f t="shared" si="1"/>
        <v>19</v>
      </c>
      <c r="I13" s="15">
        <f t="shared" si="2"/>
        <v>22</v>
      </c>
      <c r="J13" s="15">
        <f t="shared" si="2"/>
        <v>9</v>
      </c>
      <c r="K13" s="15">
        <f t="shared" si="3"/>
        <v>31</v>
      </c>
      <c r="L13" s="32" t="s">
        <v>8</v>
      </c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</row>
    <row r="14" spans="1:58" s="12" customFormat="1" ht="23" customHeight="1">
      <c r="A14" s="11"/>
      <c r="B14" s="30" t="s">
        <v>9</v>
      </c>
      <c r="C14" s="14">
        <v>11</v>
      </c>
      <c r="D14" s="14">
        <v>3</v>
      </c>
      <c r="E14" s="15">
        <f t="shared" si="0"/>
        <v>14</v>
      </c>
      <c r="F14" s="14">
        <v>10</v>
      </c>
      <c r="G14" s="14">
        <v>0</v>
      </c>
      <c r="H14" s="15">
        <f t="shared" si="1"/>
        <v>10</v>
      </c>
      <c r="I14" s="15">
        <f t="shared" si="2"/>
        <v>21</v>
      </c>
      <c r="J14" s="15">
        <f t="shared" si="2"/>
        <v>3</v>
      </c>
      <c r="K14" s="15">
        <f t="shared" si="3"/>
        <v>24</v>
      </c>
      <c r="L14" s="32" t="s">
        <v>9</v>
      </c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</row>
    <row r="15" spans="1:58" s="12" customFormat="1" ht="23" customHeight="1">
      <c r="A15" s="11"/>
      <c r="B15" s="30" t="s">
        <v>10</v>
      </c>
      <c r="C15" s="14">
        <v>13</v>
      </c>
      <c r="D15" s="14">
        <v>2</v>
      </c>
      <c r="E15" s="15">
        <f t="shared" si="0"/>
        <v>15</v>
      </c>
      <c r="F15" s="14">
        <v>4</v>
      </c>
      <c r="G15" s="14">
        <v>0</v>
      </c>
      <c r="H15" s="15">
        <f t="shared" si="1"/>
        <v>4</v>
      </c>
      <c r="I15" s="15">
        <f t="shared" si="2"/>
        <v>17</v>
      </c>
      <c r="J15" s="15">
        <f t="shared" si="2"/>
        <v>2</v>
      </c>
      <c r="K15" s="15">
        <f t="shared" si="3"/>
        <v>19</v>
      </c>
      <c r="L15" s="32" t="s">
        <v>10</v>
      </c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</row>
    <row r="16" spans="1:58" s="12" customFormat="1" ht="23" customHeight="1">
      <c r="A16" s="11"/>
      <c r="B16" s="30" t="s">
        <v>11</v>
      </c>
      <c r="C16" s="14">
        <v>7</v>
      </c>
      <c r="D16" s="14">
        <v>2</v>
      </c>
      <c r="E16" s="15">
        <f t="shared" si="0"/>
        <v>9</v>
      </c>
      <c r="F16" s="14">
        <v>4</v>
      </c>
      <c r="G16" s="14">
        <v>0</v>
      </c>
      <c r="H16" s="15">
        <f t="shared" si="1"/>
        <v>4</v>
      </c>
      <c r="I16" s="15">
        <f t="shared" si="2"/>
        <v>11</v>
      </c>
      <c r="J16" s="15">
        <f t="shared" si="2"/>
        <v>2</v>
      </c>
      <c r="K16" s="15">
        <f t="shared" si="3"/>
        <v>13</v>
      </c>
      <c r="L16" s="32" t="s">
        <v>11</v>
      </c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</row>
    <row r="17" spans="1:58" s="12" customFormat="1" ht="23" customHeight="1">
      <c r="A17" s="11"/>
      <c r="B17" s="30" t="s">
        <v>12</v>
      </c>
      <c r="C17" s="14">
        <v>4</v>
      </c>
      <c r="D17" s="14">
        <v>0</v>
      </c>
      <c r="E17" s="15">
        <f t="shared" si="0"/>
        <v>4</v>
      </c>
      <c r="F17" s="14">
        <v>3</v>
      </c>
      <c r="G17" s="14">
        <v>0</v>
      </c>
      <c r="H17" s="15">
        <f t="shared" si="1"/>
        <v>3</v>
      </c>
      <c r="I17" s="15">
        <f t="shared" si="2"/>
        <v>7</v>
      </c>
      <c r="J17" s="15">
        <f t="shared" si="2"/>
        <v>0</v>
      </c>
      <c r="K17" s="15">
        <f t="shared" si="3"/>
        <v>7</v>
      </c>
      <c r="L17" s="32" t="s">
        <v>12</v>
      </c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</row>
    <row r="18" spans="1:58" s="12" customFormat="1" ht="23" customHeight="1">
      <c r="A18" s="11"/>
      <c r="B18" s="30" t="s">
        <v>13</v>
      </c>
      <c r="C18" s="14">
        <v>5</v>
      </c>
      <c r="D18" s="14">
        <v>0</v>
      </c>
      <c r="E18" s="15">
        <f t="shared" ref="E18:E22" si="4">C18+D18</f>
        <v>5</v>
      </c>
      <c r="F18" s="14">
        <v>2</v>
      </c>
      <c r="G18" s="14">
        <v>0</v>
      </c>
      <c r="H18" s="15">
        <f t="shared" ref="H18:H22" si="5">F18+G18</f>
        <v>2</v>
      </c>
      <c r="I18" s="15">
        <f t="shared" ref="I18:I22" si="6">C18+F18</f>
        <v>7</v>
      </c>
      <c r="J18" s="15">
        <f t="shared" ref="J18:J22" si="7">D18+G18</f>
        <v>0</v>
      </c>
      <c r="K18" s="15">
        <f t="shared" ref="K18:K22" si="8">I18+J18</f>
        <v>7</v>
      </c>
      <c r="L18" s="32" t="s">
        <v>13</v>
      </c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</row>
    <row r="19" spans="1:58" s="12" customFormat="1" ht="23" customHeight="1">
      <c r="A19" s="11"/>
      <c r="B19" s="30" t="s">
        <v>14</v>
      </c>
      <c r="C19" s="14">
        <v>6</v>
      </c>
      <c r="D19" s="14">
        <v>0</v>
      </c>
      <c r="E19" s="15">
        <f t="shared" si="4"/>
        <v>6</v>
      </c>
      <c r="F19" s="14">
        <v>0</v>
      </c>
      <c r="G19" s="14">
        <v>0</v>
      </c>
      <c r="H19" s="15">
        <f t="shared" si="5"/>
        <v>0</v>
      </c>
      <c r="I19" s="15">
        <f t="shared" si="6"/>
        <v>6</v>
      </c>
      <c r="J19" s="15">
        <f t="shared" si="7"/>
        <v>0</v>
      </c>
      <c r="K19" s="15">
        <f t="shared" si="8"/>
        <v>6</v>
      </c>
      <c r="L19" s="32" t="s">
        <v>14</v>
      </c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</row>
    <row r="20" spans="1:58" s="12" customFormat="1" ht="23" customHeight="1">
      <c r="A20" s="11"/>
      <c r="B20" s="30" t="s">
        <v>15</v>
      </c>
      <c r="C20" s="14">
        <v>2</v>
      </c>
      <c r="D20" s="14">
        <v>0</v>
      </c>
      <c r="E20" s="15">
        <f t="shared" si="4"/>
        <v>2</v>
      </c>
      <c r="F20" s="14">
        <v>0</v>
      </c>
      <c r="G20" s="14">
        <v>0</v>
      </c>
      <c r="H20" s="15">
        <f t="shared" si="5"/>
        <v>0</v>
      </c>
      <c r="I20" s="15">
        <f t="shared" si="6"/>
        <v>2</v>
      </c>
      <c r="J20" s="15">
        <f t="shared" si="7"/>
        <v>0</v>
      </c>
      <c r="K20" s="15">
        <f t="shared" si="8"/>
        <v>2</v>
      </c>
      <c r="L20" s="32" t="s">
        <v>15</v>
      </c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</row>
    <row r="21" spans="1:58" s="12" customFormat="1" ht="23" customHeight="1">
      <c r="A21" s="11"/>
      <c r="B21" s="30" t="s">
        <v>16</v>
      </c>
      <c r="C21" s="14">
        <v>1</v>
      </c>
      <c r="D21" s="14">
        <v>0</v>
      </c>
      <c r="E21" s="15">
        <f t="shared" si="4"/>
        <v>1</v>
      </c>
      <c r="F21" s="14">
        <v>0</v>
      </c>
      <c r="G21" s="14">
        <v>0</v>
      </c>
      <c r="H21" s="15">
        <f t="shared" si="5"/>
        <v>0</v>
      </c>
      <c r="I21" s="15">
        <f t="shared" si="6"/>
        <v>1</v>
      </c>
      <c r="J21" s="15">
        <f t="shared" si="7"/>
        <v>0</v>
      </c>
      <c r="K21" s="15">
        <f t="shared" si="8"/>
        <v>1</v>
      </c>
      <c r="L21" s="32" t="s">
        <v>16</v>
      </c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</row>
    <row r="22" spans="1:58" s="12" customFormat="1" ht="23" customHeight="1">
      <c r="A22" s="11"/>
      <c r="B22" s="55" t="s">
        <v>84</v>
      </c>
      <c r="C22" s="56">
        <v>0</v>
      </c>
      <c r="D22" s="56">
        <v>0</v>
      </c>
      <c r="E22" s="57">
        <f t="shared" si="4"/>
        <v>0</v>
      </c>
      <c r="F22" s="56">
        <v>0</v>
      </c>
      <c r="G22" s="56">
        <v>0</v>
      </c>
      <c r="H22" s="57">
        <f t="shared" si="5"/>
        <v>0</v>
      </c>
      <c r="I22" s="57">
        <f t="shared" si="6"/>
        <v>0</v>
      </c>
      <c r="J22" s="57">
        <f t="shared" si="7"/>
        <v>0</v>
      </c>
      <c r="K22" s="57">
        <f t="shared" si="8"/>
        <v>0</v>
      </c>
      <c r="L22" s="58" t="s">
        <v>93</v>
      </c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</row>
    <row r="23" spans="1:58" s="12" customFormat="1" ht="23" customHeight="1">
      <c r="A23" s="11"/>
      <c r="B23" s="59" t="s">
        <v>17</v>
      </c>
      <c r="C23" s="60">
        <f>SUM(C9:C22)</f>
        <v>63</v>
      </c>
      <c r="D23" s="60">
        <f t="shared" ref="D23:K23" si="9">SUM(D9:D22)</f>
        <v>21</v>
      </c>
      <c r="E23" s="60">
        <f t="shared" si="9"/>
        <v>84</v>
      </c>
      <c r="F23" s="60">
        <f t="shared" si="9"/>
        <v>54</v>
      </c>
      <c r="G23" s="60">
        <f t="shared" si="9"/>
        <v>16</v>
      </c>
      <c r="H23" s="60">
        <f t="shared" si="9"/>
        <v>70</v>
      </c>
      <c r="I23" s="60">
        <f t="shared" si="9"/>
        <v>117</v>
      </c>
      <c r="J23" s="60">
        <f t="shared" si="9"/>
        <v>37</v>
      </c>
      <c r="K23" s="60">
        <f t="shared" si="9"/>
        <v>154</v>
      </c>
      <c r="L23" s="61" t="s">
        <v>18</v>
      </c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</row>
    <row r="24" spans="1:58" ht="27.75" customHeight="1">
      <c r="B24" s="72" t="s">
        <v>116</v>
      </c>
      <c r="C24" s="84" t="s">
        <v>126</v>
      </c>
      <c r="D24" s="84"/>
      <c r="E24" s="84"/>
      <c r="F24" s="84"/>
      <c r="G24" s="84"/>
      <c r="H24" s="84"/>
      <c r="I24" s="84"/>
      <c r="J24" s="84"/>
      <c r="K24" s="84"/>
      <c r="L24" s="73" t="s">
        <v>117</v>
      </c>
    </row>
    <row r="25" spans="1:58" ht="15.75" customHeight="1">
      <c r="B25" s="65" t="s">
        <v>121</v>
      </c>
      <c r="C25" s="84">
        <v>55881352</v>
      </c>
      <c r="D25" s="84"/>
      <c r="E25" s="84"/>
      <c r="F25" s="84"/>
      <c r="G25" s="84"/>
      <c r="H25" s="84"/>
      <c r="I25" s="84"/>
      <c r="J25" s="84"/>
      <c r="K25" s="84"/>
      <c r="L25" s="64" t="s">
        <v>118</v>
      </c>
    </row>
    <row r="26" spans="1:58" ht="17">
      <c r="B26" s="63" t="s">
        <v>119</v>
      </c>
      <c r="C26" s="85" t="s">
        <v>125</v>
      </c>
      <c r="D26" s="86"/>
      <c r="E26" s="86"/>
      <c r="F26" s="86"/>
      <c r="G26" s="86"/>
      <c r="H26" s="86"/>
      <c r="I26" s="86"/>
      <c r="J26" s="86"/>
      <c r="K26" s="86"/>
      <c r="L26" s="64" t="s">
        <v>120</v>
      </c>
    </row>
    <row r="27" spans="1:58" ht="13">
      <c r="C27" s="13"/>
    </row>
    <row r="28" spans="1:58" ht="13">
      <c r="C28" s="13"/>
    </row>
    <row r="29" spans="1:58" ht="13">
      <c r="C29" s="13"/>
    </row>
    <row r="30" spans="1:58" ht="13">
      <c r="C30" s="13"/>
    </row>
    <row r="31" spans="1:58" ht="13">
      <c r="C31" s="13"/>
    </row>
    <row r="32" spans="1:58" ht="13">
      <c r="C32" s="13"/>
    </row>
    <row r="33" spans="3:3" ht="13">
      <c r="C33" s="13"/>
    </row>
    <row r="34" spans="3:3" ht="13">
      <c r="C34" s="13"/>
    </row>
    <row r="35" spans="3:3" ht="13">
      <c r="C35" s="13"/>
    </row>
    <row r="36" spans="3:3" ht="13">
      <c r="C36" s="13"/>
    </row>
    <row r="37" spans="3:3" ht="13">
      <c r="C37" s="13"/>
    </row>
    <row r="38" spans="3:3" ht="20" customHeight="1">
      <c r="C38" s="13"/>
    </row>
    <row r="39" spans="3:3" ht="20" customHeight="1">
      <c r="C39" s="13"/>
    </row>
    <row r="40" spans="3:3" ht="20" customHeight="1">
      <c r="C40" s="13"/>
    </row>
    <row r="41" spans="3:3" ht="20" customHeight="1">
      <c r="C41" s="13"/>
    </row>
  </sheetData>
  <mergeCells count="14">
    <mergeCell ref="C24:K24"/>
    <mergeCell ref="C25:K25"/>
    <mergeCell ref="C26:K26"/>
    <mergeCell ref="I7:K7"/>
    <mergeCell ref="B1:L1"/>
    <mergeCell ref="B3:L3"/>
    <mergeCell ref="C5:K5"/>
    <mergeCell ref="B6:B8"/>
    <mergeCell ref="C6:K6"/>
    <mergeCell ref="L6:L8"/>
    <mergeCell ref="C7:E7"/>
    <mergeCell ref="F7:H7"/>
    <mergeCell ref="B4:L4"/>
    <mergeCell ref="B2:L2"/>
  </mergeCells>
  <hyperlinks>
    <hyperlink ref="C26" r:id="rId1" xr:uid="{2A5D1D8A-708A-AD4E-B7CF-B200DF2DC455}"/>
  </hyperlinks>
  <printOptions horizontalCentered="1" verticalCentered="1"/>
  <pageMargins left="0.19685039370078741" right="0.19685039370078741" top="0.39370078740157483" bottom="0.74803149606299213" header="0.31496062992125984" footer="0.31496062992125984"/>
  <pageSetup scale="95" orientation="landscape" horizontalDpi="4294967295" verticalDpi="4294967295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2"/>
  <sheetViews>
    <sheetView rightToLeft="1" topLeftCell="B1" zoomScale="150" zoomScaleNormal="150" zoomScaleSheetLayoutView="100" workbookViewId="0">
      <pane xSplit="1" ySplit="8" topLeftCell="C18" activePane="bottomRight" state="frozen"/>
      <selection activeCell="B1" sqref="B1"/>
      <selection pane="topRight" activeCell="C1" sqref="C1"/>
      <selection pane="bottomLeft" activeCell="B9" sqref="B9"/>
      <selection pane="bottomRight" activeCell="G23" sqref="G23"/>
    </sheetView>
  </sheetViews>
  <sheetFormatPr baseColWidth="10" defaultColWidth="8.83203125" defaultRowHeight="15"/>
  <cols>
    <col min="1" max="1" width="0.33203125" customWidth="1"/>
    <col min="2" max="2" width="20.5" customWidth="1"/>
    <col min="3" max="5" width="7.5" customWidth="1"/>
    <col min="6" max="6" width="6.6640625" customWidth="1"/>
    <col min="7" max="7" width="8.5" customWidth="1"/>
    <col min="8" max="8" width="7.5" customWidth="1"/>
    <col min="9" max="9" width="7.1640625" customWidth="1"/>
    <col min="10" max="10" width="7.5" customWidth="1"/>
    <col min="11" max="11" width="8.33203125" customWidth="1"/>
    <col min="12" max="12" width="30.83203125" customWidth="1"/>
  </cols>
  <sheetData>
    <row r="1" spans="2:12" ht="18" customHeight="1">
      <c r="B1" s="87" t="s">
        <v>69</v>
      </c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2:12" ht="18" customHeight="1">
      <c r="B2" s="95">
        <v>2024</v>
      </c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2:12" ht="18" customHeight="1">
      <c r="B3" s="98" t="s">
        <v>94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2" ht="18" customHeight="1">
      <c r="B4" s="100">
        <v>2024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2:12" ht="30" customHeight="1">
      <c r="B5" s="25" t="s">
        <v>52</v>
      </c>
      <c r="C5" s="19"/>
      <c r="D5" s="19"/>
      <c r="E5" s="19"/>
      <c r="F5" s="19"/>
      <c r="G5" s="19"/>
      <c r="H5" s="19"/>
      <c r="I5" s="19"/>
      <c r="J5" s="19"/>
      <c r="K5" s="19"/>
      <c r="L5" s="26" t="s">
        <v>54</v>
      </c>
    </row>
    <row r="6" spans="2:12" ht="18" customHeight="1">
      <c r="B6" s="89" t="s">
        <v>31</v>
      </c>
      <c r="C6" s="99" t="s">
        <v>1</v>
      </c>
      <c r="D6" s="99"/>
      <c r="E6" s="99"/>
      <c r="F6" s="99"/>
      <c r="G6" s="99"/>
      <c r="H6" s="99"/>
      <c r="I6" s="99"/>
      <c r="J6" s="99"/>
      <c r="K6" s="99"/>
      <c r="L6" s="105" t="s">
        <v>32</v>
      </c>
    </row>
    <row r="7" spans="2:12" ht="14.25" customHeight="1">
      <c r="B7" s="89"/>
      <c r="C7" s="99" t="s">
        <v>57</v>
      </c>
      <c r="D7" s="99"/>
      <c r="E7" s="99"/>
      <c r="F7" s="99" t="s">
        <v>63</v>
      </c>
      <c r="G7" s="99"/>
      <c r="H7" s="99"/>
      <c r="I7" s="97" t="s">
        <v>2</v>
      </c>
      <c r="J7" s="97"/>
      <c r="K7" s="97"/>
      <c r="L7" s="105"/>
    </row>
    <row r="8" spans="2:12" ht="26">
      <c r="B8" s="89"/>
      <c r="C8" s="52" t="s">
        <v>60</v>
      </c>
      <c r="D8" s="52" t="s">
        <v>59</v>
      </c>
      <c r="E8" s="52" t="s">
        <v>58</v>
      </c>
      <c r="F8" s="52" t="s">
        <v>61</v>
      </c>
      <c r="G8" s="52" t="s">
        <v>59</v>
      </c>
      <c r="H8" s="52" t="s">
        <v>58</v>
      </c>
      <c r="I8" s="52" t="s">
        <v>60</v>
      </c>
      <c r="J8" s="52" t="s">
        <v>59</v>
      </c>
      <c r="K8" s="52" t="s">
        <v>58</v>
      </c>
      <c r="L8" s="105"/>
    </row>
    <row r="9" spans="2:12" ht="30" customHeight="1">
      <c r="B9" s="34" t="s">
        <v>33</v>
      </c>
      <c r="C9" s="21">
        <v>0</v>
      </c>
      <c r="D9" s="21">
        <v>0</v>
      </c>
      <c r="E9" s="15">
        <f>C9+D9</f>
        <v>0</v>
      </c>
      <c r="F9" s="21">
        <v>1</v>
      </c>
      <c r="G9" s="21">
        <v>0</v>
      </c>
      <c r="H9" s="15">
        <f>F9+G9</f>
        <v>1</v>
      </c>
      <c r="I9" s="20">
        <f>C9+F9</f>
        <v>1</v>
      </c>
      <c r="J9" s="20">
        <f>D9+G9</f>
        <v>0</v>
      </c>
      <c r="K9" s="20">
        <f>I9+J9</f>
        <v>1</v>
      </c>
      <c r="L9" s="36" t="s">
        <v>34</v>
      </c>
    </row>
    <row r="10" spans="2:12" ht="30" customHeight="1">
      <c r="B10" s="34" t="s">
        <v>87</v>
      </c>
      <c r="C10" s="21">
        <v>0</v>
      </c>
      <c r="D10" s="21">
        <v>0</v>
      </c>
      <c r="E10" s="15">
        <f t="shared" ref="E10:E23" si="0">C10+D10</f>
        <v>0</v>
      </c>
      <c r="F10" s="21">
        <v>2</v>
      </c>
      <c r="G10" s="21">
        <v>1</v>
      </c>
      <c r="H10" s="15">
        <f t="shared" ref="H10:H23" si="1">F10+G10</f>
        <v>3</v>
      </c>
      <c r="I10" s="20">
        <f t="shared" ref="I10:I17" si="2">C10+F10</f>
        <v>2</v>
      </c>
      <c r="J10" s="20">
        <f t="shared" ref="J10:J17" si="3">D10+G10</f>
        <v>1</v>
      </c>
      <c r="K10" s="20">
        <f t="shared" ref="K10:K17" si="4">I10+J10</f>
        <v>3</v>
      </c>
      <c r="L10" s="36" t="s">
        <v>97</v>
      </c>
    </row>
    <row r="11" spans="2:12" ht="30" customHeight="1">
      <c r="B11" s="34" t="s">
        <v>86</v>
      </c>
      <c r="C11" s="21">
        <v>0</v>
      </c>
      <c r="D11" s="21">
        <v>0</v>
      </c>
      <c r="E11" s="15">
        <f t="shared" si="0"/>
        <v>0</v>
      </c>
      <c r="F11" s="21">
        <v>0</v>
      </c>
      <c r="G11" s="21">
        <v>0</v>
      </c>
      <c r="H11" s="15">
        <f t="shared" si="1"/>
        <v>0</v>
      </c>
      <c r="I11" s="20">
        <f t="shared" si="2"/>
        <v>0</v>
      </c>
      <c r="J11" s="20">
        <f t="shared" si="3"/>
        <v>0</v>
      </c>
      <c r="K11" s="20">
        <f t="shared" si="4"/>
        <v>0</v>
      </c>
      <c r="L11" s="36" t="s">
        <v>98</v>
      </c>
    </row>
    <row r="12" spans="2:12" ht="30" customHeight="1">
      <c r="B12" s="35" t="s">
        <v>88</v>
      </c>
      <c r="C12" s="21">
        <v>0</v>
      </c>
      <c r="D12" s="21">
        <v>0</v>
      </c>
      <c r="E12" s="15">
        <f t="shared" si="0"/>
        <v>0</v>
      </c>
      <c r="F12" s="21">
        <v>0</v>
      </c>
      <c r="G12" s="21">
        <v>0</v>
      </c>
      <c r="H12" s="15">
        <f t="shared" si="1"/>
        <v>0</v>
      </c>
      <c r="I12" s="20">
        <f t="shared" si="2"/>
        <v>0</v>
      </c>
      <c r="J12" s="20">
        <f t="shared" si="3"/>
        <v>0</v>
      </c>
      <c r="K12" s="20">
        <f t="shared" si="4"/>
        <v>0</v>
      </c>
      <c r="L12" s="36" t="s">
        <v>99</v>
      </c>
    </row>
    <row r="13" spans="2:12" ht="30" customHeight="1">
      <c r="B13" s="35" t="s">
        <v>35</v>
      </c>
      <c r="C13" s="21">
        <v>0</v>
      </c>
      <c r="D13" s="21">
        <v>0</v>
      </c>
      <c r="E13" s="15">
        <f t="shared" si="0"/>
        <v>0</v>
      </c>
      <c r="F13" s="21">
        <v>0</v>
      </c>
      <c r="G13" s="21">
        <v>0</v>
      </c>
      <c r="H13" s="15">
        <f t="shared" si="1"/>
        <v>0</v>
      </c>
      <c r="I13" s="20">
        <f t="shared" si="2"/>
        <v>0</v>
      </c>
      <c r="J13" s="20">
        <f t="shared" si="3"/>
        <v>0</v>
      </c>
      <c r="K13" s="20">
        <f t="shared" si="4"/>
        <v>0</v>
      </c>
      <c r="L13" s="36" t="s">
        <v>36</v>
      </c>
    </row>
    <row r="14" spans="2:12" ht="30" customHeight="1">
      <c r="B14" s="34" t="s">
        <v>37</v>
      </c>
      <c r="C14" s="21">
        <v>0</v>
      </c>
      <c r="D14" s="21">
        <v>0</v>
      </c>
      <c r="E14" s="15">
        <f t="shared" si="0"/>
        <v>0</v>
      </c>
      <c r="F14" s="21">
        <v>0</v>
      </c>
      <c r="G14" s="21">
        <v>0</v>
      </c>
      <c r="H14" s="15">
        <f t="shared" si="1"/>
        <v>0</v>
      </c>
      <c r="I14" s="20">
        <f t="shared" si="2"/>
        <v>0</v>
      </c>
      <c r="J14" s="20">
        <f t="shared" si="3"/>
        <v>0</v>
      </c>
      <c r="K14" s="20">
        <f t="shared" si="4"/>
        <v>0</v>
      </c>
      <c r="L14" s="36" t="s">
        <v>38</v>
      </c>
    </row>
    <row r="15" spans="2:12" ht="30" customHeight="1">
      <c r="B15" s="35" t="s">
        <v>39</v>
      </c>
      <c r="C15" s="21">
        <v>0</v>
      </c>
      <c r="D15" s="21">
        <v>0</v>
      </c>
      <c r="E15" s="15">
        <f t="shared" si="0"/>
        <v>0</v>
      </c>
      <c r="F15" s="21">
        <v>0</v>
      </c>
      <c r="G15" s="21">
        <v>0</v>
      </c>
      <c r="H15" s="15">
        <f t="shared" si="1"/>
        <v>0</v>
      </c>
      <c r="I15" s="20">
        <f t="shared" si="2"/>
        <v>0</v>
      </c>
      <c r="J15" s="20">
        <f t="shared" si="3"/>
        <v>0</v>
      </c>
      <c r="K15" s="20">
        <f t="shared" si="4"/>
        <v>0</v>
      </c>
      <c r="L15" s="36" t="s">
        <v>40</v>
      </c>
    </row>
    <row r="16" spans="2:12" ht="30" customHeight="1">
      <c r="B16" s="34" t="s">
        <v>41</v>
      </c>
      <c r="C16" s="21">
        <v>0</v>
      </c>
      <c r="D16" s="21">
        <v>0</v>
      </c>
      <c r="E16" s="15">
        <f t="shared" si="0"/>
        <v>0</v>
      </c>
      <c r="F16" s="21">
        <v>0</v>
      </c>
      <c r="G16" s="21">
        <v>0</v>
      </c>
      <c r="H16" s="15">
        <f t="shared" si="1"/>
        <v>0</v>
      </c>
      <c r="I16" s="20">
        <f t="shared" si="2"/>
        <v>0</v>
      </c>
      <c r="J16" s="20">
        <f t="shared" si="3"/>
        <v>0</v>
      </c>
      <c r="K16" s="20">
        <f t="shared" si="4"/>
        <v>0</v>
      </c>
      <c r="L16" s="36" t="s">
        <v>42</v>
      </c>
    </row>
    <row r="17" spans="2:12" ht="30" customHeight="1">
      <c r="B17" s="34" t="s">
        <v>89</v>
      </c>
      <c r="C17" s="21">
        <v>0</v>
      </c>
      <c r="D17" s="21">
        <v>0</v>
      </c>
      <c r="E17" s="15">
        <f t="shared" si="0"/>
        <v>0</v>
      </c>
      <c r="F17" s="21">
        <v>0</v>
      </c>
      <c r="G17" s="21">
        <v>0</v>
      </c>
      <c r="H17" s="15">
        <f t="shared" si="1"/>
        <v>0</v>
      </c>
      <c r="I17" s="20">
        <f t="shared" si="2"/>
        <v>0</v>
      </c>
      <c r="J17" s="20">
        <f t="shared" si="3"/>
        <v>0</v>
      </c>
      <c r="K17" s="20">
        <f t="shared" si="4"/>
        <v>0</v>
      </c>
      <c r="L17" s="36" t="s">
        <v>100</v>
      </c>
    </row>
    <row r="18" spans="2:12" ht="23.25" customHeight="1">
      <c r="B18" s="34" t="s">
        <v>90</v>
      </c>
      <c r="C18" s="21">
        <v>0</v>
      </c>
      <c r="D18" s="21">
        <v>0</v>
      </c>
      <c r="E18" s="15">
        <f t="shared" si="0"/>
        <v>0</v>
      </c>
      <c r="F18" s="21">
        <v>0</v>
      </c>
      <c r="G18" s="21">
        <v>0</v>
      </c>
      <c r="H18" s="15">
        <f t="shared" si="1"/>
        <v>0</v>
      </c>
      <c r="I18" s="20">
        <f t="shared" ref="I18:I23" si="5">C18+F18</f>
        <v>0</v>
      </c>
      <c r="J18" s="20">
        <f t="shared" ref="J18:J23" si="6">D18+G18</f>
        <v>0</v>
      </c>
      <c r="K18" s="20">
        <f t="shared" ref="K18:K23" si="7">I18+J18</f>
        <v>0</v>
      </c>
      <c r="L18" s="36" t="s">
        <v>43</v>
      </c>
    </row>
    <row r="19" spans="2:12" ht="30" customHeight="1">
      <c r="B19" s="34" t="s">
        <v>44</v>
      </c>
      <c r="C19" s="21">
        <v>0</v>
      </c>
      <c r="D19" s="21">
        <v>0</v>
      </c>
      <c r="E19" s="15">
        <f>C19+D19</f>
        <v>0</v>
      </c>
      <c r="F19" s="21">
        <v>6</v>
      </c>
      <c r="G19" s="21">
        <v>1</v>
      </c>
      <c r="H19" s="15">
        <f t="shared" si="1"/>
        <v>7</v>
      </c>
      <c r="I19" s="20">
        <f t="shared" si="5"/>
        <v>6</v>
      </c>
      <c r="J19" s="20">
        <f t="shared" si="6"/>
        <v>1</v>
      </c>
      <c r="K19" s="20">
        <f t="shared" si="7"/>
        <v>7</v>
      </c>
      <c r="L19" s="36" t="s">
        <v>45</v>
      </c>
    </row>
    <row r="20" spans="2:12" ht="24.75" customHeight="1">
      <c r="B20" s="34" t="s">
        <v>46</v>
      </c>
      <c r="C20" s="21">
        <v>0</v>
      </c>
      <c r="D20" s="21">
        <v>0</v>
      </c>
      <c r="E20" s="15">
        <f t="shared" si="0"/>
        <v>0</v>
      </c>
      <c r="F20" s="21">
        <v>0</v>
      </c>
      <c r="G20" s="21">
        <v>0</v>
      </c>
      <c r="H20" s="15">
        <f t="shared" si="1"/>
        <v>0</v>
      </c>
      <c r="I20" s="20">
        <f t="shared" si="5"/>
        <v>0</v>
      </c>
      <c r="J20" s="20">
        <f t="shared" si="6"/>
        <v>0</v>
      </c>
      <c r="K20" s="20">
        <f t="shared" si="7"/>
        <v>0</v>
      </c>
      <c r="L20" s="36" t="s">
        <v>101</v>
      </c>
    </row>
    <row r="21" spans="2:12" ht="30" customHeight="1">
      <c r="B21" s="35" t="s">
        <v>47</v>
      </c>
      <c r="C21" s="21">
        <v>6</v>
      </c>
      <c r="D21" s="21">
        <v>1</v>
      </c>
      <c r="E21" s="15">
        <f t="shared" si="0"/>
        <v>7</v>
      </c>
      <c r="F21" s="21">
        <v>3</v>
      </c>
      <c r="G21" s="21">
        <v>2</v>
      </c>
      <c r="H21" s="15">
        <f t="shared" si="1"/>
        <v>5</v>
      </c>
      <c r="I21" s="20">
        <f t="shared" si="5"/>
        <v>9</v>
      </c>
      <c r="J21" s="20">
        <f t="shared" si="6"/>
        <v>3</v>
      </c>
      <c r="K21" s="20">
        <f t="shared" si="7"/>
        <v>12</v>
      </c>
      <c r="L21" s="36" t="s">
        <v>102</v>
      </c>
    </row>
    <row r="22" spans="2:12" ht="30" customHeight="1">
      <c r="B22" s="34" t="s">
        <v>48</v>
      </c>
      <c r="C22" s="21">
        <v>0</v>
      </c>
      <c r="D22" s="21">
        <v>0</v>
      </c>
      <c r="E22" s="15">
        <f t="shared" si="0"/>
        <v>0</v>
      </c>
      <c r="F22" s="21">
        <v>8</v>
      </c>
      <c r="G22" s="21">
        <v>0</v>
      </c>
      <c r="H22" s="15">
        <f t="shared" si="1"/>
        <v>8</v>
      </c>
      <c r="I22" s="20">
        <f t="shared" si="5"/>
        <v>8</v>
      </c>
      <c r="J22" s="20">
        <f t="shared" si="6"/>
        <v>0</v>
      </c>
      <c r="K22" s="20">
        <f t="shared" si="7"/>
        <v>8</v>
      </c>
      <c r="L22" s="36" t="s">
        <v>103</v>
      </c>
    </row>
    <row r="23" spans="2:12" ht="30" customHeight="1">
      <c r="B23" s="34" t="s">
        <v>104</v>
      </c>
      <c r="C23" s="21">
        <v>4</v>
      </c>
      <c r="D23" s="21">
        <v>0</v>
      </c>
      <c r="E23" s="15">
        <f t="shared" si="0"/>
        <v>4</v>
      </c>
      <c r="F23" s="21">
        <v>1</v>
      </c>
      <c r="G23" s="21">
        <v>1</v>
      </c>
      <c r="H23" s="15">
        <f t="shared" si="1"/>
        <v>2</v>
      </c>
      <c r="I23" s="20">
        <f t="shared" si="5"/>
        <v>5</v>
      </c>
      <c r="J23" s="20">
        <f t="shared" si="6"/>
        <v>1</v>
      </c>
      <c r="K23" s="20">
        <f t="shared" si="7"/>
        <v>6</v>
      </c>
      <c r="L23" s="36" t="s">
        <v>105</v>
      </c>
    </row>
    <row r="24" spans="2:12" ht="26.25" customHeight="1">
      <c r="B24" s="34" t="s">
        <v>17</v>
      </c>
      <c r="C24" s="20">
        <f>SUM(C9:C23)</f>
        <v>10</v>
      </c>
      <c r="D24" s="20">
        <f t="shared" ref="D24:K24" si="8">SUM(D9:D23)</f>
        <v>1</v>
      </c>
      <c r="E24" s="20">
        <f t="shared" si="8"/>
        <v>11</v>
      </c>
      <c r="F24" s="20">
        <f t="shared" si="8"/>
        <v>21</v>
      </c>
      <c r="G24" s="20">
        <f t="shared" si="8"/>
        <v>5</v>
      </c>
      <c r="H24" s="20">
        <f t="shared" si="8"/>
        <v>26</v>
      </c>
      <c r="I24" s="20">
        <f t="shared" si="8"/>
        <v>31</v>
      </c>
      <c r="J24" s="20">
        <f t="shared" si="8"/>
        <v>6</v>
      </c>
      <c r="K24" s="20">
        <f t="shared" si="8"/>
        <v>37</v>
      </c>
      <c r="L24" s="36" t="s">
        <v>18</v>
      </c>
    </row>
    <row r="25" spans="2:12" ht="27" customHeight="1">
      <c r="B25" s="67"/>
      <c r="C25" s="66"/>
      <c r="D25" s="66"/>
      <c r="E25" s="66"/>
      <c r="F25" s="66"/>
      <c r="G25" s="66"/>
      <c r="H25" s="66"/>
      <c r="I25" s="66"/>
      <c r="J25" s="66"/>
      <c r="K25" s="103"/>
      <c r="L25" s="104"/>
    </row>
    <row r="26" spans="2:12" ht="28.5" customHeight="1">
      <c r="B26" s="71"/>
      <c r="C26" s="101"/>
      <c r="D26" s="101"/>
      <c r="E26" s="101"/>
      <c r="F26" s="101"/>
      <c r="G26" s="101"/>
      <c r="H26" s="101"/>
      <c r="I26" s="101"/>
      <c r="J26" s="101"/>
      <c r="K26" s="101"/>
      <c r="L26" s="68"/>
    </row>
    <row r="27" spans="2:12" ht="27.75" customHeight="1">
      <c r="B27" s="70"/>
      <c r="C27" s="102"/>
      <c r="D27" s="102"/>
      <c r="E27" s="102"/>
      <c r="F27" s="102"/>
      <c r="G27" s="102"/>
      <c r="H27" s="102"/>
      <c r="I27" s="102"/>
      <c r="J27" s="102"/>
      <c r="K27" s="102"/>
      <c r="L27" s="69"/>
    </row>
    <row r="28" spans="2:12" ht="29.25" customHeight="1"/>
    <row r="29" spans="2:12" ht="25.5" customHeight="1"/>
    <row r="30" spans="2:12" ht="30" customHeight="1"/>
    <row r="32" spans="2:12" ht="14.25" customHeight="1"/>
  </sheetData>
  <mergeCells count="13">
    <mergeCell ref="C26:K26"/>
    <mergeCell ref="C27:K27"/>
    <mergeCell ref="K25:L25"/>
    <mergeCell ref="B1:L1"/>
    <mergeCell ref="B3:L3"/>
    <mergeCell ref="B6:B8"/>
    <mergeCell ref="C6:K6"/>
    <mergeCell ref="L6:L8"/>
    <mergeCell ref="C7:E7"/>
    <mergeCell ref="F7:H7"/>
    <mergeCell ref="I7:K7"/>
    <mergeCell ref="B4:L4"/>
    <mergeCell ref="B2:L2"/>
  </mergeCells>
  <printOptions horizontalCentered="1" verticalCentered="1"/>
  <pageMargins left="0.19685039370078741" right="0.19685039370078741" top="0.39370078740157483" bottom="0.74803149606299213" header="0.31496062992125984" footer="0.31496062992125984"/>
  <pageSetup scale="54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الغلاف</vt:lpstr>
      <vt:lpstr>1</vt:lpstr>
      <vt:lpstr>2</vt:lpstr>
      <vt:lpstr>3</vt:lpstr>
      <vt:lpstr>'1'!Print_Area</vt:lpstr>
      <vt:lpstr>'2'!Print_Area</vt:lpstr>
      <vt:lpstr>'3'!Print_Area</vt:lpstr>
      <vt:lpstr>الغلاف!Print_Area</vt:lpstr>
      <vt:lpstr>'3'!Print_Titles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Muneera Aljattal Almaadid</dc:creator>
  <cp:lastModifiedBy>Hsinou Bouteldja</cp:lastModifiedBy>
  <cp:lastPrinted>2025-04-13T09:46:05Z</cp:lastPrinted>
  <dcterms:created xsi:type="dcterms:W3CDTF">2019-01-07T06:12:37Z</dcterms:created>
  <dcterms:modified xsi:type="dcterms:W3CDTF">2026-03-16T21:30:41Z</dcterms:modified>
</cp:coreProperties>
</file>